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arcofogale-my.sharepoint.com/personal/marco_marcofogale_net/Documents/TRAVAIL/PORTFOLIO/Portfolio/"/>
    </mc:Choice>
  </mc:AlternateContent>
  <xr:revisionPtr revIDLastSave="689" documentId="8_{A5A3811E-4A15-4AF1-BB6E-25A6BB138619}" xr6:coauthVersionLast="46" xr6:coauthVersionMax="46" xr10:uidLastSave="{990D55EA-FE5B-4DF4-BEEC-220AA1A6E95D}"/>
  <bookViews>
    <workbookView xWindow="-120" yWindow="-120" windowWidth="29040" windowHeight="15840" xr2:uid="{00000000-000D-0000-FFFF-FFFF00000000}"/>
  </bookViews>
  <sheets>
    <sheet name="Send email" sheetId="3" r:id="rId1"/>
    <sheet name="Deliveries data" sheetId="1" r:id="rId2"/>
    <sheet name="Company data" sheetId="2" r:id="rId3"/>
  </sheets>
  <definedNames>
    <definedName name="_xlnm._FilterDatabase" localSheetId="1" hidden="1">'Deliveries data'!$A$1:$Q$1001</definedName>
    <definedName name="_xlnm.Print_Area" localSheetId="1">'Deliveries data'!$A$1:$M$45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66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2" i="1"/>
</calcChain>
</file>

<file path=xl/sharedStrings.xml><?xml version="1.0" encoding="utf-8"?>
<sst xmlns="http://schemas.openxmlformats.org/spreadsheetml/2006/main" count="4069" uniqueCount="1884">
  <si>
    <t>date</t>
  </si>
  <si>
    <t xml:space="preserve">Info </t>
  </si>
  <si>
    <t>Shippings Planning</t>
  </si>
  <si>
    <t>Loading date</t>
  </si>
  <si>
    <t>Deliver to Company</t>
  </si>
  <si>
    <t>Jaskolski, Kub and Labadie</t>
  </si>
  <si>
    <t>Bahringer Ltd</t>
  </si>
  <si>
    <t>Willms, Monahan and Rutherford</t>
  </si>
  <si>
    <t>roscoe62@beatty.net</t>
  </si>
  <si>
    <t>wellington84@hahn.com</t>
  </si>
  <si>
    <t>lesch.alvena@wintheiser.com</t>
  </si>
  <si>
    <t>Hand PLC</t>
  </si>
  <si>
    <t>Terry-Ziemann</t>
  </si>
  <si>
    <t>Barton, Bechtelar and Kessler</t>
  </si>
  <si>
    <t>Kozey-Maggio</t>
  </si>
  <si>
    <t>Hayes, Kassulke and Kerluke</t>
  </si>
  <si>
    <t>Carroll, O'Conner and Nikolaus</t>
  </si>
  <si>
    <t>Nitzsche PLC</t>
  </si>
  <si>
    <t>Bartoletti-Dietrich</t>
  </si>
  <si>
    <t>Toy-Zemlak</t>
  </si>
  <si>
    <t>Stoltenberg-Brekke</t>
  </si>
  <si>
    <t>Trantow, Koss and Considine</t>
  </si>
  <si>
    <t>hickle.ignatius@stark.com</t>
  </si>
  <si>
    <t>waldo34@schowalter.com</t>
  </si>
  <si>
    <t>ignatius40@langworth.com</t>
  </si>
  <si>
    <t>uwill@leffler.com</t>
  </si>
  <si>
    <t>coy.kuhlman@gaylord.com</t>
  </si>
  <si>
    <t>jcarroll@greenfelder.com</t>
  </si>
  <si>
    <t>tatyana.windler@kautzer.org</t>
  </si>
  <si>
    <t>hattie.walker@bode.com</t>
  </si>
  <si>
    <t>keagan.marvin@kub.com</t>
  </si>
  <si>
    <t>marks.aimee@frami.org</t>
  </si>
  <si>
    <t>tyler.rowe@metz.com</t>
  </si>
  <si>
    <t>Week Number</t>
  </si>
  <si>
    <t>Week Day Number</t>
  </si>
  <si>
    <t>Load from Company</t>
  </si>
  <si>
    <t>ERP order number</t>
  </si>
  <si>
    <t>WMS order number</t>
  </si>
  <si>
    <t>Loading Time</t>
  </si>
  <si>
    <t>Delivery Time</t>
  </si>
  <si>
    <t>Truck number</t>
  </si>
  <si>
    <t>Lorry driver</t>
  </si>
  <si>
    <t>Item Number</t>
  </si>
  <si>
    <t>Item description</t>
  </si>
  <si>
    <t>Number of pallets</t>
  </si>
  <si>
    <t>Artichokes - Jerusalem</t>
  </si>
  <si>
    <t>Steampan - Foil</t>
  </si>
  <si>
    <t>Sauce - Hoisin</t>
  </si>
  <si>
    <t>Beef - Tenderloin</t>
  </si>
  <si>
    <t>Ice - Clear, 300 Lb For Carving</t>
  </si>
  <si>
    <t>Sherbet - Raspberry</t>
  </si>
  <si>
    <t>Garbage Bags - Clear</t>
  </si>
  <si>
    <t>Seabream Whole Farmed</t>
  </si>
  <si>
    <t>Basil - Thai</t>
  </si>
  <si>
    <t>Pepper - Red Thai</t>
  </si>
  <si>
    <t>Brownies - Two Bite, Chocolate</t>
  </si>
  <si>
    <t>Sauce - Salsa</t>
  </si>
  <si>
    <t>Cup - 6oz, Foam</t>
  </si>
  <si>
    <t>Ice Cream Bar - Rolo Cone</t>
  </si>
  <si>
    <t>Mushroom - Porcini Frozen</t>
  </si>
  <si>
    <t>Buffalo - Tenderloin</t>
  </si>
  <si>
    <t>Cloves - Whole</t>
  </si>
  <si>
    <t>Beans - Soya Bean</t>
  </si>
  <si>
    <t>Rice Wine - Aji Mirin</t>
  </si>
  <si>
    <t>Trueblue - Blueberry 12x473ml</t>
  </si>
  <si>
    <t>V8 Pet</t>
  </si>
  <si>
    <t>Cake - Night And Day Choclate</t>
  </si>
  <si>
    <t>Bread - Olive</t>
  </si>
  <si>
    <t>Everfresh Products</t>
  </si>
  <si>
    <t>Radish - Black, Winter, Organic</t>
  </si>
  <si>
    <t>French Pastry - Mini Chocolate</t>
  </si>
  <si>
    <t>Burger Veggie</t>
  </si>
  <si>
    <t>Cake - Cake Sheet Macaroon</t>
  </si>
  <si>
    <t>Corn Syrup</t>
  </si>
  <si>
    <t>Cheese - Bakers Cream Cheese</t>
  </si>
  <si>
    <t>Carbonated Water - Raspberry</t>
  </si>
  <si>
    <t>Wine - Dubouef Macon - Villages</t>
  </si>
  <si>
    <t>Table Cloth 81x81 White</t>
  </si>
  <si>
    <t>Syrup - Monin, Swiss Choclate</t>
  </si>
  <si>
    <t>Ecolab Digiclean Mild Fm</t>
  </si>
  <si>
    <t>Sage - Fresh</t>
  </si>
  <si>
    <t>Nut - Walnut, Pieces</t>
  </si>
  <si>
    <t>Broom - Angled</t>
  </si>
  <si>
    <t>Langers - Mango Nectar</t>
  </si>
  <si>
    <t>Marjoram - Dried, Rubbed</t>
  </si>
  <si>
    <t>Squeeze Bottle</t>
  </si>
  <si>
    <t>Jam - Marmalade, Orange</t>
  </si>
  <si>
    <t>Lemon Pepper</t>
  </si>
  <si>
    <t>Tart Shells - Savory, 4</t>
  </si>
  <si>
    <t>Sprouts - Alfalfa</t>
  </si>
  <si>
    <t>Bread - Onion Focaccia</t>
  </si>
  <si>
    <t>Rabbit - Legs</t>
  </si>
  <si>
    <t>Butter - Pod</t>
  </si>
  <si>
    <t>Salmon - Fillets</t>
  </si>
  <si>
    <t>Pasta - Gnocchi, Potato</t>
  </si>
  <si>
    <t>Black Currants</t>
  </si>
  <si>
    <t>Red Currants</t>
  </si>
  <si>
    <t>Arrowroot</t>
  </si>
  <si>
    <t>Trout - Smoked</t>
  </si>
  <si>
    <t>Mushroom - Lg - Cello</t>
  </si>
  <si>
    <t>Wine - Magnotta - Pinot Gris Sr</t>
  </si>
  <si>
    <t>Bar Special K</t>
  </si>
  <si>
    <t>Coffee - Almond Amaretto</t>
  </si>
  <si>
    <t>Bread - Frozen Basket Variety</t>
  </si>
  <si>
    <t>Lotus Rootlets - Canned</t>
  </si>
  <si>
    <t>Sole - Fillet</t>
  </si>
  <si>
    <t>Tomato - Peeled Italian Canned</t>
  </si>
  <si>
    <t>Mushroom - Trumpet, Dry</t>
  </si>
  <si>
    <t>Bonito Flakes - Toku Katsuo</t>
  </si>
  <si>
    <t>Pastry - Butterscotch Baked</t>
  </si>
  <si>
    <t>Wine - Stoneliegh Sauvignon</t>
  </si>
  <si>
    <t>Pea - Snow</t>
  </si>
  <si>
    <t>Potatoes - Idaho 100 Count</t>
  </si>
  <si>
    <t>Apple - Fuji</t>
  </si>
  <si>
    <t>Gatorade - Orange</t>
  </si>
  <si>
    <t>Flour - Strong Pizza</t>
  </si>
  <si>
    <t>Mousse - Passion Fruit</t>
  </si>
  <si>
    <t>Chicken - White Meat, No Tender</t>
  </si>
  <si>
    <t>Nantucket - Orange Mango Cktl</t>
  </si>
  <si>
    <t>Ocean Spray - Kiwi Strawberry</t>
  </si>
  <si>
    <t>Sauce - Plum</t>
  </si>
  <si>
    <t>Potatoes - Mini White 3 Oz</t>
  </si>
  <si>
    <t>Beef - Salted</t>
  </si>
  <si>
    <t>Shrimp - 16/20, Iqf, Shell On</t>
  </si>
  <si>
    <t>Guinea Fowl</t>
  </si>
  <si>
    <t>Bread - White, Unsliced</t>
  </si>
  <si>
    <t>Soup - Cream Of Broccoli, Dry</t>
  </si>
  <si>
    <t>Phyllo Dough</t>
  </si>
  <si>
    <t>Syrup - Golden, Lyles</t>
  </si>
  <si>
    <t>Yoplait - Strawbrasp Peac</t>
  </si>
  <si>
    <t>Lady Fingers</t>
  </si>
  <si>
    <t>Cheese - Shred Cheddar / Mozza</t>
  </si>
  <si>
    <t>Wine - Delicato Merlot</t>
  </si>
  <si>
    <t>Fish - Base, Bouillion</t>
  </si>
  <si>
    <t>Tart - Pecan Butter Squares</t>
  </si>
  <si>
    <t>Bananas</t>
  </si>
  <si>
    <t>Mushroom Morel Fresh</t>
  </si>
  <si>
    <t>Appetizer - Shrimp Puff</t>
  </si>
  <si>
    <t>Cheese - Brie,danish</t>
  </si>
  <si>
    <t>Sugar - Invert</t>
  </si>
  <si>
    <t>Smoked Paprika</t>
  </si>
  <si>
    <t>Sauce - Soya, Dark</t>
  </si>
  <si>
    <t>Mop Head - Cotton, 24 Oz</t>
  </si>
  <si>
    <t>Syrup - Monin - Blue Curacao</t>
  </si>
  <si>
    <t>Tarragon - Primerba, Paste</t>
  </si>
  <si>
    <t>Tea - Herbal Orange Spice</t>
  </si>
  <si>
    <t>Spring Roll Veg Mini</t>
  </si>
  <si>
    <t>Rum - White, Gg White</t>
  </si>
  <si>
    <t>Pasta - Canelloni, Single Serve</t>
  </si>
  <si>
    <t>Soup - Campbells - Tomato</t>
  </si>
  <si>
    <t>Wine - Sauvignon Blanc</t>
  </si>
  <si>
    <t>Banana Turning</t>
  </si>
  <si>
    <t>Sparkling Wine - Rose, Freixenet</t>
  </si>
  <si>
    <t>Jolt Cola</t>
  </si>
  <si>
    <t>Tortillas - Flour, 8</t>
  </si>
  <si>
    <t>Fudge - Chocolate Fudge</t>
  </si>
  <si>
    <t>Bread Roll Foccacia</t>
  </si>
  <si>
    <t>Chicken - Diced, Cooked</t>
  </si>
  <si>
    <t>Coffee Beans - Chocolate</t>
  </si>
  <si>
    <t>Muffin - Mix - Bran And Maple 15l</t>
  </si>
  <si>
    <t>Soup - Campbells, Butternut</t>
  </si>
  <si>
    <t>Fireball Whisky</t>
  </si>
  <si>
    <t>Oil - Truffle, White</t>
  </si>
  <si>
    <t>Mushroom - King Eryingii</t>
  </si>
  <si>
    <t>Appetizer - Lobster Phyllo Roll</t>
  </si>
  <si>
    <t>Yogurt - Raspberry, 175 Gr</t>
  </si>
  <si>
    <t>Squid - U - 10 Thailand</t>
  </si>
  <si>
    <t>Piping Jelly - All Colours</t>
  </si>
  <si>
    <t>Turnip - White, Organic</t>
  </si>
  <si>
    <t>7up Diet, 355 Ml</t>
  </si>
  <si>
    <t>Bread - Roll, Canadian Dinner</t>
  </si>
  <si>
    <t>Cakes Assorted</t>
  </si>
  <si>
    <t>Lettuce - Boston Bib</t>
  </si>
  <si>
    <t>Foam Dinner Plate</t>
  </si>
  <si>
    <t>Lamb Shoulder Boneless Nz</t>
  </si>
  <si>
    <t>Flour - Whole Wheat</t>
  </si>
  <si>
    <t>Ham - Black Forest</t>
  </si>
  <si>
    <t>Couscous</t>
  </si>
  <si>
    <t>Beef - Tender Tips</t>
  </si>
  <si>
    <t>Juice - Orange, 341 Ml</t>
  </si>
  <si>
    <t>Carbonated Water - Blackberry</t>
  </si>
  <si>
    <t>Sour Cream</t>
  </si>
  <si>
    <t>Sauce - Balsamic Viniagrette</t>
  </si>
  <si>
    <t>Pickles - Gherkins</t>
  </si>
  <si>
    <t>Gingerale - Diet - Schweppes</t>
  </si>
  <si>
    <t>Stock - Fish</t>
  </si>
  <si>
    <t>Nacho Chips</t>
  </si>
  <si>
    <t>Wine - Red, Pinot Noir, Chateau</t>
  </si>
  <si>
    <t>Melon - Watermelon, Seedless</t>
  </si>
  <si>
    <t>Wine - Crozes Hermitage E.</t>
  </si>
  <si>
    <t>Sherry - Dry</t>
  </si>
  <si>
    <t>Mace</t>
  </si>
  <si>
    <t>Sprite, Diet - 355ml</t>
  </si>
  <si>
    <t>Puree - Mango</t>
  </si>
  <si>
    <t>Pumpkin</t>
  </si>
  <si>
    <t>Oysters - Smoked</t>
  </si>
  <si>
    <t>Flower - Dish Garden</t>
  </si>
  <si>
    <t>Potatoes - Mini Red</t>
  </si>
  <si>
    <t>Pastry - Lemon Danish - Mini</t>
  </si>
  <si>
    <t>Wine - Redchard Merritt</t>
  </si>
  <si>
    <t>Eggplant - Baby</t>
  </si>
  <si>
    <t>Crab - Claws, Snow 16 - 24</t>
  </si>
  <si>
    <t>Lettuce - Lambs Mash</t>
  </si>
  <si>
    <t>Bread - Corn Muffaletta</t>
  </si>
  <si>
    <t>Ham - Procutinni</t>
  </si>
  <si>
    <t>Broom And Broom Rack White</t>
  </si>
  <si>
    <t>Skirt - 24 Foot</t>
  </si>
  <si>
    <t>Pepper - Paprika, Hungarian</t>
  </si>
  <si>
    <t>Bread - Bagels, Mini</t>
  </si>
  <si>
    <t>Pepper - Chilli Seeds Mild</t>
  </si>
  <si>
    <t>Pastry - Carrot Muffin - Mini</t>
  </si>
  <si>
    <t>Table Cloth 53x53 White</t>
  </si>
  <si>
    <t>Lid Coffeecup 12oz D9542b</t>
  </si>
  <si>
    <t>Water - Evian 355 Ml</t>
  </si>
  <si>
    <t>Greens Mustard</t>
  </si>
  <si>
    <t>Energy Drink - Franks Pineapple</t>
  </si>
  <si>
    <t>Juice - Clam, 46 Oz</t>
  </si>
  <si>
    <t>Sea Bass - Fillets</t>
  </si>
  <si>
    <t>Bread - Sour Sticks With Onion</t>
  </si>
  <si>
    <t>Fish - Halibut, Cold Smoked</t>
  </si>
  <si>
    <t>Quail - Jumbo</t>
  </si>
  <si>
    <t>Nut - Pistachio, Shelled</t>
  </si>
  <si>
    <t>Pepper - Red Chili</t>
  </si>
  <si>
    <t>Tia Maria</t>
  </si>
  <si>
    <t>Soup - Knorr, French Onion</t>
  </si>
  <si>
    <t>Beef Tenderloin Aaa</t>
  </si>
  <si>
    <t>Rice - Wild</t>
  </si>
  <si>
    <t>Wine - White, Schroder And Schyl</t>
  </si>
  <si>
    <t>Gelatine Leaves - Bulk</t>
  </si>
  <si>
    <t>Appetizer - Chicken Satay</t>
  </si>
  <si>
    <t>Puree - Guava</t>
  </si>
  <si>
    <t>Herb Du Provence - Primerba</t>
  </si>
  <si>
    <t>Pork - Caul Fat</t>
  </si>
  <si>
    <t>Langers - Cranberry Cocktail</t>
  </si>
  <si>
    <t>Melon - Honey Dew</t>
  </si>
  <si>
    <t>Bread - Crumbs, Bulk</t>
  </si>
  <si>
    <t>Calypso - Pineapple Passion</t>
  </si>
  <si>
    <t>Cheese - Comte</t>
  </si>
  <si>
    <t>Peppercorns - Green</t>
  </si>
  <si>
    <t>Trout - Hot Smkd, Dbl Fillet</t>
  </si>
  <si>
    <t>Crab - Dungeness, Whole, live</t>
  </si>
  <si>
    <t>Wine - Gato Negro Cabernet</t>
  </si>
  <si>
    <t>Wine - Red Oakridge Merlot</t>
  </si>
  <si>
    <t>Beans - Kidney White</t>
  </si>
  <si>
    <t>Versatainer Nc - 8288</t>
  </si>
  <si>
    <t>Wanton Wrap</t>
  </si>
  <si>
    <t>Hipnotiq Liquor</t>
  </si>
  <si>
    <t>Beans - Navy, Dry</t>
  </si>
  <si>
    <t>Quiche Assorted</t>
  </si>
  <si>
    <t>Langers - Ruby Red Grapfruit</t>
  </si>
  <si>
    <t>Salmon Steak - Cohoe 6 Oz</t>
  </si>
  <si>
    <t>Cheese - Brie Roitelet</t>
  </si>
  <si>
    <t>Flour - Masa De Harina Mexican</t>
  </si>
  <si>
    <t>Beef - Roasted, Cooked</t>
  </si>
  <si>
    <t>Tea - Darjeeling, Azzura</t>
  </si>
  <si>
    <t>Garbage Bag - Clear</t>
  </si>
  <si>
    <t>Muffin - Carrot Individual Wrap</t>
  </si>
  <si>
    <t>Pants Custom Dry Clean</t>
  </si>
  <si>
    <t>Lamb - Sausage Casings</t>
  </si>
  <si>
    <t>Salt - Table</t>
  </si>
  <si>
    <t>Corn Shoots</t>
  </si>
  <si>
    <t>Energy Drink Bawls</t>
  </si>
  <si>
    <t>Sansho Powder</t>
  </si>
  <si>
    <t>Chips Potato Reg 43g</t>
  </si>
  <si>
    <t>Sweet Pea Sprouts</t>
  </si>
  <si>
    <t>Wine - White, Ej</t>
  </si>
  <si>
    <t>Cheese - Ermite Bleu</t>
  </si>
  <si>
    <t>Sugar - Fine</t>
  </si>
  <si>
    <t>Milk Powder</t>
  </si>
  <si>
    <t>Lettuce - Baby Salad Greens</t>
  </si>
  <si>
    <t>Devonshire Cream</t>
  </si>
  <si>
    <t>Towel Multifold</t>
  </si>
  <si>
    <t>Juice - Pineapple, 48 Oz</t>
  </si>
  <si>
    <t>Coffee - Cafe Moreno</t>
  </si>
  <si>
    <t>Wine - Harrow Estates, Vidal</t>
  </si>
  <si>
    <t>Sausage - Liver</t>
  </si>
  <si>
    <t>Chinese Foods - Thick Noodles</t>
  </si>
  <si>
    <t>Juice - Tomato, 10 Oz</t>
  </si>
  <si>
    <t>Monkfish Fresh - Skin Off</t>
  </si>
  <si>
    <t>Ginger - Crystalized</t>
  </si>
  <si>
    <t>Beets - Candy Cane, Organic</t>
  </si>
  <si>
    <t>Soap - Hand Soap</t>
  </si>
  <si>
    <t>Veal - Insides, Grains</t>
  </si>
  <si>
    <t>Cod - Black Whole Fillet</t>
  </si>
  <si>
    <t>Chocolate - Sugar Free Semi Choc</t>
  </si>
  <si>
    <t>Sponge Cake Mix - Vanilla</t>
  </si>
  <si>
    <t>Wine - Fino Tio Pepe Gonzalez</t>
  </si>
  <si>
    <t>Celery</t>
  </si>
  <si>
    <t>Berry Brulee</t>
  </si>
  <si>
    <t>Tart - Raisin And Pecan</t>
  </si>
  <si>
    <t>Foam Cup 6 Oz</t>
  </si>
  <si>
    <t>Soup - Chicken And Wild Rice</t>
  </si>
  <si>
    <t>Glove - Cutting</t>
  </si>
  <si>
    <t>Chickhen - Chicken Phyllo</t>
  </si>
  <si>
    <t>Poppy Seed</t>
  </si>
  <si>
    <t>Tea Leaves - Oolong</t>
  </si>
  <si>
    <t>Oxtail - Cut</t>
  </si>
  <si>
    <t>Alize Red Passion</t>
  </si>
  <si>
    <t>Syrup - Kahlua Chocolate</t>
  </si>
  <si>
    <t>Chips - Potato Jalapeno</t>
  </si>
  <si>
    <t>Veal - Brisket, Provimi, Bone - In</t>
  </si>
  <si>
    <t>Croissants Thaw And Serve</t>
  </si>
  <si>
    <t>Wine - George Duboeuf Rose</t>
  </si>
  <si>
    <t>Cassis</t>
  </si>
  <si>
    <t>Cheese - Gouda</t>
  </si>
  <si>
    <t>Lid - 16 Oz And 32 Oz</t>
  </si>
  <si>
    <t>Sprouts - Peppercress</t>
  </si>
  <si>
    <t>Corn Kernels - Frozen</t>
  </si>
  <si>
    <t>Octopus</t>
  </si>
  <si>
    <t>Flower - Commercial Spider</t>
  </si>
  <si>
    <t>Sprite - 355 Ml</t>
  </si>
  <si>
    <t>Beef - Top Butt Aaa</t>
  </si>
  <si>
    <t>Sauce - Soya, Light</t>
  </si>
  <si>
    <t>Wine - Rosso Toscano Igt</t>
  </si>
  <si>
    <t>Cheese - Mozzarella</t>
  </si>
  <si>
    <t>Salmon Steak - Cohoe 8 Oz</t>
  </si>
  <si>
    <t>Pepsi, 355 Ml</t>
  </si>
  <si>
    <t>Bagel - 12 Grain Preslice</t>
  </si>
  <si>
    <t>Lentils - Green, Dry</t>
  </si>
  <si>
    <t>Wine - Red, Pelee Island Merlot</t>
  </si>
  <si>
    <t>Wine - Clavet Saint Emilion</t>
  </si>
  <si>
    <t>Vinegar - Balsamic, White</t>
  </si>
  <si>
    <t>Pomegranates</t>
  </si>
  <si>
    <t>Beef - Diced</t>
  </si>
  <si>
    <t>Eggs - Extra Large</t>
  </si>
  <si>
    <t>Soup Campbells - Italian Wedding</t>
  </si>
  <si>
    <t>Orange Roughy 4/6 Oz</t>
  </si>
  <si>
    <t>Carbonated Water - Strawberry</t>
  </si>
  <si>
    <t>Wine - Riesling Dr. Pauly</t>
  </si>
  <si>
    <t>Wine - Pinot Noir Pond Haddock</t>
  </si>
  <si>
    <t>Squash - Pepper</t>
  </si>
  <si>
    <t>Glaze - Apricot</t>
  </si>
  <si>
    <t>Shrimp - Black Tiger 8 - 12</t>
  </si>
  <si>
    <t>Turkey - Breast, Boneless Sk On</t>
  </si>
  <si>
    <t>Smoked Tongue</t>
  </si>
  <si>
    <t>Sausage - Andouille</t>
  </si>
  <si>
    <t>Bols Melon Liqueur</t>
  </si>
  <si>
    <t>Hagen Daza - Dk Choocolate</t>
  </si>
  <si>
    <t>Canadian Emmenthal</t>
  </si>
  <si>
    <t>Rice - Basmati</t>
  </si>
  <si>
    <t>Cheese - Cheddar, Mild</t>
  </si>
  <si>
    <t>Orange - Blood</t>
  </si>
  <si>
    <t>Shiratamako - Rice Flour</t>
  </si>
  <si>
    <t>Pepsi - Diet, 355 Ml</t>
  </si>
  <si>
    <t>Crawfish</t>
  </si>
  <si>
    <t>Paper Towel Touchless</t>
  </si>
  <si>
    <t>Instant Coffee</t>
  </si>
  <si>
    <t>Cookies - Englishbay Chochip</t>
  </si>
  <si>
    <t>Potatoes - Yukon Gold, 80 Ct</t>
  </si>
  <si>
    <t>Bread - Roll, Whole Wheat</t>
  </si>
  <si>
    <t>Cheese - Cambozola</t>
  </si>
  <si>
    <t>Mussels - Frozen</t>
  </si>
  <si>
    <t>Veal - Leg</t>
  </si>
  <si>
    <t>Steel Wool</t>
  </si>
  <si>
    <t>Oil - Olive</t>
  </si>
  <si>
    <t>Juice - V8 Splash</t>
  </si>
  <si>
    <t>Pomello</t>
  </si>
  <si>
    <t>Energy Drink - Franks Original</t>
  </si>
  <si>
    <t>Vaccum Bag 10x13</t>
  </si>
  <si>
    <t>Wine - German Riesling</t>
  </si>
  <si>
    <t>Cheese - Blue</t>
  </si>
  <si>
    <t>Soup - Knorr, Country Bean</t>
  </si>
  <si>
    <t>Allspice - Jamaican</t>
  </si>
  <si>
    <t>Flour Pastry Super Fine</t>
  </si>
  <si>
    <t>Towel Dispenser</t>
  </si>
  <si>
    <t>Tea - Black Currant</t>
  </si>
  <si>
    <t>Onions Granulated</t>
  </si>
  <si>
    <t>Salami - Genova</t>
  </si>
  <si>
    <t>Beef - Bones, Cut - Up</t>
  </si>
  <si>
    <t>Calvados - Boulard</t>
  </si>
  <si>
    <t>Asparagus - Green, Fresh</t>
  </si>
  <si>
    <t>Spice - Onion Powder Granulated</t>
  </si>
  <si>
    <t>Soup - Campbells Chili Veg</t>
  </si>
  <si>
    <t>Bar Nature Valley</t>
  </si>
  <si>
    <t>Sterno - Chafing Dish Fuel</t>
  </si>
  <si>
    <t>Juice - Mango</t>
  </si>
  <si>
    <t>Mushroom - Enoki, Fresh</t>
  </si>
  <si>
    <t>Nantuket Peach Orange</t>
  </si>
  <si>
    <t>Tobasco Sauce</t>
  </si>
  <si>
    <t>Placemat - Scallop, White</t>
  </si>
  <si>
    <t>Arctic Char - Fillets</t>
  </si>
  <si>
    <t>Cheese - Mascarpone</t>
  </si>
  <si>
    <t>Pepper - Gypsy Pepper</t>
  </si>
  <si>
    <t>Ice Cream Bar - Hageen Daz To</t>
  </si>
  <si>
    <t>Sauce Tomato Pouch</t>
  </si>
  <si>
    <t>Bread Fig And Almond</t>
  </si>
  <si>
    <t>Anchovy In Oil</t>
  </si>
  <si>
    <t>Papadam</t>
  </si>
  <si>
    <t>Potatoes - Idaho 80 Count</t>
  </si>
  <si>
    <t>Pheasants - Whole</t>
  </si>
  <si>
    <t>Papayas</t>
  </si>
  <si>
    <t>Molasses - Fancy</t>
  </si>
  <si>
    <t>Pasta - Elbows, Macaroni, Dry</t>
  </si>
  <si>
    <t>Halibut - Whole, Fresh</t>
  </si>
  <si>
    <t>Lettuce - Mini Greens, Whole</t>
  </si>
  <si>
    <t>Creme De Cacao Mcguines</t>
  </si>
  <si>
    <t>Beer - Paulaner Hefeweisse</t>
  </si>
  <si>
    <t>Oranges</t>
  </si>
  <si>
    <t>Bread - Raisin Walnut Oval</t>
  </si>
  <si>
    <t>Wine - Chianti Classica Docg</t>
  </si>
  <si>
    <t>Cake - Box Window 10x10x2.5</t>
  </si>
  <si>
    <t>Table Cloth 62x114 White</t>
  </si>
  <si>
    <t>Peas - Frozen</t>
  </si>
  <si>
    <t>Cookie - Dough Variety</t>
  </si>
  <si>
    <t>Cheese - Gorgonzola</t>
  </si>
  <si>
    <t>Wine - Cousino Macul Antiguas</t>
  </si>
  <si>
    <t>Lamb Rack Frenched Australian</t>
  </si>
  <si>
    <t>Wine - Soave Folonari</t>
  </si>
  <si>
    <t>Chocolate - Compound Coating</t>
  </si>
  <si>
    <t>Yogurt - Strawberry, 175 Gr</t>
  </si>
  <si>
    <t>Orange Roughy 6/8 Oz</t>
  </si>
  <si>
    <t>Soup - Campbells</t>
  </si>
  <si>
    <t>Cleaner - Bleach</t>
  </si>
  <si>
    <t>Liners - Baking Cups</t>
  </si>
  <si>
    <t>Pastry - Banana Muffin - Mini</t>
  </si>
  <si>
    <t>Sambuca Cream</t>
  </si>
  <si>
    <t>Lemon Grass</t>
  </si>
  <si>
    <t>Ranchero - Primerba, Paste</t>
  </si>
  <si>
    <t>Chicken - Whole</t>
  </si>
  <si>
    <t>Macaroons - Two Bite Choc</t>
  </si>
  <si>
    <t>Chilli Paste, Sambal Oelek</t>
  </si>
  <si>
    <t>Soup - Campbells Broccoli</t>
  </si>
  <si>
    <t>Bread - Bagels, Plain</t>
  </si>
  <si>
    <t>Plasticspoonblack</t>
  </si>
  <si>
    <t>Bread - Rosemary Focaccia</t>
  </si>
  <si>
    <t>Wine - Kwv Chenin Blanc South</t>
  </si>
  <si>
    <t>Wine - Conde De Valdemar</t>
  </si>
  <si>
    <t>Liqueur Banana, Ramazzotti</t>
  </si>
  <si>
    <t>Cheese - St. Paulin</t>
  </si>
  <si>
    <t>Evaporated Milk - Skim</t>
  </si>
  <si>
    <t>Food Colouring - Orange</t>
  </si>
  <si>
    <t>Juice - Lime</t>
  </si>
  <si>
    <t>Wine - Riesling Alsace Ac 2001</t>
  </si>
  <si>
    <t>Soup - Campbells Mac N Cheese</t>
  </si>
  <si>
    <t>Tomato - Tricolor Cherry</t>
  </si>
  <si>
    <t>Cardamon Seed / Pod</t>
  </si>
  <si>
    <t>Ocean Spray - Ruby Red</t>
  </si>
  <si>
    <t>Pork - Shoulder</t>
  </si>
  <si>
    <t>Nut - Chestnuts, Whole</t>
  </si>
  <si>
    <t>Whmis Spray Bottle Graduated</t>
  </si>
  <si>
    <t>Cherries - Frozen</t>
  </si>
  <si>
    <t>Nantucket Cranberry Juice</t>
  </si>
  <si>
    <t>Nantucket - Carrot Orange</t>
  </si>
  <si>
    <t>Cookie Dough - Oatmeal Rasin</t>
  </si>
  <si>
    <t>Eggplant - Regular</t>
  </si>
  <si>
    <t>Cheese - Swiss Sliced</t>
  </si>
  <si>
    <t>Juice - Grapefruit, 341 Ml</t>
  </si>
  <si>
    <t>Syrup - Monin - Granny Smith</t>
  </si>
  <si>
    <t>Apricots - Halves</t>
  </si>
  <si>
    <t>Wine - Red, Colio Cabernet</t>
  </si>
  <si>
    <t>Kellogs Special K Cereal</t>
  </si>
  <si>
    <t>Tomatoes - Vine Ripe, Red</t>
  </si>
  <si>
    <t>Oil - Truffle, Black</t>
  </si>
  <si>
    <t>Wine - Sawmill Creek Autumn</t>
  </si>
  <si>
    <t>Cheese - Ricotta</t>
  </si>
  <si>
    <t>Bagelers - Cinn / Brown</t>
  </si>
  <si>
    <t>Juice - Orange, Concentrate</t>
  </si>
  <si>
    <t>Sugar - Brown</t>
  </si>
  <si>
    <t>Mustard - Seed</t>
  </si>
  <si>
    <t>Crush - Orange, 355ml</t>
  </si>
  <si>
    <t>Tray - 12in Rnd Blk</t>
  </si>
  <si>
    <t>Melon - Watermelon Yellow</t>
  </si>
  <si>
    <t>Flour - Bran, Red</t>
  </si>
  <si>
    <t>Cheese - Cottage Cheese</t>
  </si>
  <si>
    <t>Island Oasis - Peach Daiquiri</t>
  </si>
  <si>
    <t>Table Cloth 53x69 White</t>
  </si>
  <si>
    <t>Milk - 1%</t>
  </si>
  <si>
    <t>Chips Potato Salt Vinegar 43g</t>
  </si>
  <si>
    <t>Lettuce - Sea / Sea Asparagus</t>
  </si>
  <si>
    <t>Bread - Hot Dog Buns</t>
  </si>
  <si>
    <t>Oil - Avocado</t>
  </si>
  <si>
    <t>Pumpkin - Seed</t>
  </si>
  <si>
    <t>Cake - Mini Potato Pancake</t>
  </si>
  <si>
    <t>Pepper - Red Bell</t>
  </si>
  <si>
    <t>Coriander - Seed</t>
  </si>
  <si>
    <t>Wine - Magnotta - Red, Baco</t>
  </si>
  <si>
    <t>Cake - French Pear Tart</t>
  </si>
  <si>
    <t>Pasta - Linguini, Dry</t>
  </si>
  <si>
    <t>Water Chestnut - Canned</t>
  </si>
  <si>
    <t>Jam - Blackberry, 20 Ml Jar</t>
  </si>
  <si>
    <t>Wine - Rioja Campo Viejo</t>
  </si>
  <si>
    <t>Iced Tea - Lemon, 460 Ml</t>
  </si>
  <si>
    <t>Nut - Peanut, Roasted</t>
  </si>
  <si>
    <t>Bag - Clear 7 Lb</t>
  </si>
  <si>
    <t>Lettuce - Belgian Endive</t>
  </si>
  <si>
    <t>Dry Ice</t>
  </si>
  <si>
    <t>Table Cloth - 53x69 Colour</t>
  </si>
  <si>
    <t>Venison - Liver</t>
  </si>
  <si>
    <t>Sesame Seed Black</t>
  </si>
  <si>
    <t>Table Cloth 62x120 Colour</t>
  </si>
  <si>
    <t>Yucca</t>
  </si>
  <si>
    <t>Gatorade - Lemon Lime</t>
  </si>
  <si>
    <t>Pastry - Cherry Danish - Mini</t>
  </si>
  <si>
    <t>Garlic - Elephant</t>
  </si>
  <si>
    <t>Curry Paste - Madras</t>
  </si>
  <si>
    <t>Nantucket Orange Juice</t>
  </si>
  <si>
    <t>Flounder - Fresh</t>
  </si>
  <si>
    <t>Garam Masala Powder</t>
  </si>
  <si>
    <t>Veal - Liver</t>
  </si>
  <si>
    <t>Puree - Raspberry</t>
  </si>
  <si>
    <t>Chocolate Liqueur - Godet White</t>
  </si>
  <si>
    <t>Chilli Paste, Ginger Garlic</t>
  </si>
  <si>
    <t>Bread - Ciabatta Buns</t>
  </si>
  <si>
    <t>Wild Boar - Tenderloin</t>
  </si>
  <si>
    <t>Grapes - Green</t>
  </si>
  <si>
    <t>Magnotta - Bel Paese White</t>
  </si>
  <si>
    <t>Cocktail Napkin Blue</t>
  </si>
  <si>
    <t>Fennel</t>
  </si>
  <si>
    <t>Initation Crab Meat</t>
  </si>
  <si>
    <t>Island Oasis - Wildberry</t>
  </si>
  <si>
    <t>Wine - Red, Metus Rose</t>
  </si>
  <si>
    <t>Tabasco Sauce, 2 Oz</t>
  </si>
  <si>
    <t>Island Oasis - Magarita Mix</t>
  </si>
  <si>
    <t>English Muffin</t>
  </si>
  <si>
    <t>Cheese - Goat</t>
  </si>
  <si>
    <t>Rice - Aborio</t>
  </si>
  <si>
    <t>Milk 2% 500 Ml</t>
  </si>
  <si>
    <t>Sauce - Marinara</t>
  </si>
  <si>
    <t>Beets - Pickled</t>
  </si>
  <si>
    <t>Kirsch - Schloss</t>
  </si>
  <si>
    <t>Chocolate - Chips Compound</t>
  </si>
  <si>
    <t>Clams - Littleneck, Whole</t>
  </si>
  <si>
    <t>Pork - Kidney</t>
  </si>
  <si>
    <t>Rum - Cream, Amarula</t>
  </si>
  <si>
    <t>Fiddlehead - Frozen</t>
  </si>
  <si>
    <t>Grouper - Fresh</t>
  </si>
  <si>
    <t>Canada Dry</t>
  </si>
  <si>
    <t>Bread - Bistro White</t>
  </si>
  <si>
    <t>Chocolate - Feathers</t>
  </si>
  <si>
    <t>Pork - Bacon, Double Smoked</t>
  </si>
  <si>
    <t>Beer - Creemore</t>
  </si>
  <si>
    <t>Wiberg Cure</t>
  </si>
  <si>
    <t>Rye Special Old</t>
  </si>
  <si>
    <t>Steampan - Half Size Shallow</t>
  </si>
  <si>
    <t>Bread - Roll, Calabrese</t>
  </si>
  <si>
    <t>Compound - Mocha</t>
  </si>
  <si>
    <t>Cheese - Sheep Milk</t>
  </si>
  <si>
    <t>Zucchini - Yellow</t>
  </si>
  <si>
    <t>Port - 74 Brights</t>
  </si>
  <si>
    <t>Irish Cream - Baileys</t>
  </si>
  <si>
    <t>Juice - Apple 284ml</t>
  </si>
  <si>
    <t>Maintenance Removal Charge</t>
  </si>
  <si>
    <t>Wine - White, Antinore Orvieto</t>
  </si>
  <si>
    <t>Rum - Mount Gay Eclipes</t>
  </si>
  <si>
    <t>Nori Sea Weed - Gold Label</t>
  </si>
  <si>
    <t>Barley - Pearl</t>
  </si>
  <si>
    <t>Onions - Cooking</t>
  </si>
  <si>
    <t>Dried Figs</t>
  </si>
  <si>
    <t>Oil - Margarine</t>
  </si>
  <si>
    <t>Ecolab - Balanced Fusion</t>
  </si>
  <si>
    <t>Plasticknivesblack</t>
  </si>
  <si>
    <t>Pasta - Cheese / Spinach Bauletti</t>
  </si>
  <si>
    <t>Split Peas - Yellow, Dry</t>
  </si>
  <si>
    <t>Myers Planters Punch</t>
  </si>
  <si>
    <t>Latex Rubber Gloves Size 9</t>
  </si>
  <si>
    <t>Cream - 18%</t>
  </si>
  <si>
    <t>Chick Peas - Dried</t>
  </si>
  <si>
    <t>Coffee Caramel Biscotti</t>
  </si>
  <si>
    <t>Sardines</t>
  </si>
  <si>
    <t>Chicken - White Meat With Tender</t>
  </si>
  <si>
    <t>Blue Curacao - Marie Brizard</t>
  </si>
  <si>
    <t>Soup - Campbells Asian Noodle</t>
  </si>
  <si>
    <t>Carbonated Water - Cherry</t>
  </si>
  <si>
    <t>Sage Derby</t>
  </si>
  <si>
    <t>Lamb - Rack</t>
  </si>
  <si>
    <t>Garlic Powder</t>
  </si>
  <si>
    <t>Bay Leaf Ground</t>
  </si>
  <si>
    <t>Beer - Labatt Blue</t>
  </si>
  <si>
    <t>Rice - Brown</t>
  </si>
  <si>
    <t>Tea - Herbal I Love Lemon</t>
  </si>
  <si>
    <t>Foil Wrap</t>
  </si>
  <si>
    <t>Bagel - Everything Presliced</t>
  </si>
  <si>
    <t>Table Cloth 62x114 Colour</t>
  </si>
  <si>
    <t>Bar Energy Chocchip</t>
  </si>
  <si>
    <t>Wine - Saint Emilion Calvet</t>
  </si>
  <si>
    <t>Lidsoupcont Rp12dn</t>
  </si>
  <si>
    <t>Corn - On The Cob</t>
  </si>
  <si>
    <t>Pork - Back, Short Cut, Boneless</t>
  </si>
  <si>
    <t>Vol Au Vents</t>
  </si>
  <si>
    <t>Apples - Spartan</t>
  </si>
  <si>
    <t>Beer - Sleeman Fine Porter</t>
  </si>
  <si>
    <t>Toothpick Frilled</t>
  </si>
  <si>
    <t>Miso Paste White</t>
  </si>
  <si>
    <t>Veal - Kidney</t>
  </si>
  <si>
    <t>Bread - Assorted Rolls</t>
  </si>
  <si>
    <t>Clementine</t>
  </si>
  <si>
    <t>Coffee - Decaffeinato Coffee</t>
  </si>
  <si>
    <t>Appetizer - Smoked Salmon / Dill</t>
  </si>
  <si>
    <t>Tuna - Loin</t>
  </si>
  <si>
    <t>The Pop Shoppe - Grape</t>
  </si>
  <si>
    <t>Cake - Miini Cheesecake Cherry</t>
  </si>
  <si>
    <t>Cookies Almond Hazelnut</t>
  </si>
  <si>
    <t>Garlic - Primerba, Paste</t>
  </si>
  <si>
    <t>Foam Espresso Cup Plain White</t>
  </si>
  <si>
    <t>Wine - Alsace Riesling Reserve</t>
  </si>
  <si>
    <t>Mushrooms - Black, Dried</t>
  </si>
  <si>
    <t>Tea - Grapefruit Green Tea</t>
  </si>
  <si>
    <t>Milk - Condensed</t>
  </si>
  <si>
    <t>Bread Bowl Plain</t>
  </si>
  <si>
    <t>Bread - Multigrain</t>
  </si>
  <si>
    <t>Apron</t>
  </si>
  <si>
    <t>Tortillas - Flour, 10</t>
  </si>
  <si>
    <t>Calypso - Strawberry Lemonade</t>
  </si>
  <si>
    <t>Chocolate - Mi - Amere Semi</t>
  </si>
  <si>
    <t>Sloe Gin - Mcguinness</t>
  </si>
  <si>
    <t>Tequila - Sauza Silver</t>
  </si>
  <si>
    <t>Soup - Campbells, Lentil</t>
  </si>
  <si>
    <t>Tomatoes - Orange</t>
  </si>
  <si>
    <t>Ecolab - Medallion</t>
  </si>
  <si>
    <t>Pie Filling - Apple</t>
  </si>
  <si>
    <t>Pastry - Choclate Baked</t>
  </si>
  <si>
    <t>Cocoa Feuilletine</t>
  </si>
  <si>
    <t>Beets - Mini Golden</t>
  </si>
  <si>
    <t>Turkey - Breast, Bone - In</t>
  </si>
  <si>
    <t>Flour - Chickpea</t>
  </si>
  <si>
    <t>Loquat</t>
  </si>
  <si>
    <t>Rice Pilaf, Dry,package</t>
  </si>
  <si>
    <t>Oyster - In Shell</t>
  </si>
  <si>
    <t>Ham - Cooked</t>
  </si>
  <si>
    <t>Sprouts Dikon</t>
  </si>
  <si>
    <t>Compound - Raspberry</t>
  </si>
  <si>
    <t>Crackers - Soda / Saltins</t>
  </si>
  <si>
    <t>Beef Wellington</t>
  </si>
  <si>
    <t>Vinegar - White</t>
  </si>
  <si>
    <t>Lettuce - Red Leaf</t>
  </si>
  <si>
    <t>Wine - Zonnebloem Pinotage</t>
  </si>
  <si>
    <t>Bagel - Whole White Sesame</t>
  </si>
  <si>
    <t>Scallops - Live In Shell</t>
  </si>
  <si>
    <t>Muffin Batt - Ban Dream Zero</t>
  </si>
  <si>
    <t>Sesame Seed</t>
  </si>
  <si>
    <t>Beer - Fruli</t>
  </si>
  <si>
    <t>Potatoes - Parissienne</t>
  </si>
  <si>
    <t>Beer - Blue</t>
  </si>
  <si>
    <t>Beef Cheek Fresh</t>
  </si>
  <si>
    <t>Versatainer Nc - 888</t>
  </si>
  <si>
    <t>Beef - Rib Roast, Capless</t>
  </si>
  <si>
    <t>Napkin - Beverge, White 2 - Ply</t>
  </si>
  <si>
    <t>Glass Clear 7 Oz Xl</t>
  </si>
  <si>
    <t>Wine - Rubyport</t>
  </si>
  <si>
    <t>Wasabi Paste</t>
  </si>
  <si>
    <t>Capon - Breast, Wing On</t>
  </si>
  <si>
    <t>Soap - Mr.clean Floor Soap</t>
  </si>
  <si>
    <t>Taro Leaves</t>
  </si>
  <si>
    <t>Mince Meat - Filling</t>
  </si>
  <si>
    <t>Sobe - Liz Blizz</t>
  </si>
  <si>
    <t>Tart Shells - Sweet, 2</t>
  </si>
  <si>
    <t>Muffin Batt - Choc Chk</t>
  </si>
  <si>
    <t>Cabbage - Savoy</t>
  </si>
  <si>
    <t>Tomatillo</t>
  </si>
  <si>
    <t>Steel Wool S.o.s</t>
  </si>
  <si>
    <t>Tart Shells - Savory, 2</t>
  </si>
  <si>
    <t>Shrimp - 31/40</t>
  </si>
  <si>
    <t>Tart Shells - Sweet, 4</t>
  </si>
  <si>
    <t>Coconut - Creamed, Pure</t>
  </si>
  <si>
    <t>Butter Ripple - Phillips</t>
  </si>
  <si>
    <t>Soup - Tomato Mush. Florentine</t>
  </si>
  <si>
    <t>Yukon Jack</t>
  </si>
  <si>
    <t>Pasta - Tortellini, Fresh</t>
  </si>
  <si>
    <t>Beets - Golden</t>
  </si>
  <si>
    <t>Silicone Parch. 16.3x24.3</t>
  </si>
  <si>
    <t>Fib N9 - Prague Powder</t>
  </si>
  <si>
    <t>Nut - Macadamia</t>
  </si>
  <si>
    <t>Pork - Sausage Casing</t>
  </si>
  <si>
    <t>Scampi Tail</t>
  </si>
  <si>
    <t>Pike - Frozen Fillet</t>
  </si>
  <si>
    <t>Persimmons</t>
  </si>
  <si>
    <t>Wine - White, Mosel Gold</t>
  </si>
  <si>
    <t>Pork - Hock And Feet Attached</t>
  </si>
  <si>
    <t>Veal - Nuckle</t>
  </si>
  <si>
    <t>Tea - Jasmin Green</t>
  </si>
  <si>
    <t>Cotton Wet Mop 16 Oz</t>
  </si>
  <si>
    <t>Squash - Sunburst</t>
  </si>
  <si>
    <t>Apple - Macintosh</t>
  </si>
  <si>
    <t>Wine - Piper Heidsieck Brut</t>
  </si>
  <si>
    <t>Cheese - Gouda Smoked</t>
  </si>
  <si>
    <t>Wine - Baron De Rothschild</t>
  </si>
  <si>
    <t>Turkey - Breast, Smoked</t>
  </si>
  <si>
    <t>Rosemary - Primerba, Paste</t>
  </si>
  <si>
    <t>Rolled Oats</t>
  </si>
  <si>
    <t>Salmon - Sockeye Raw</t>
  </si>
  <si>
    <t>Bagel - Plain</t>
  </si>
  <si>
    <t>Eggplant Oriental</t>
  </si>
  <si>
    <t>Nut - Almond, Blanched, Whole</t>
  </si>
  <si>
    <t>Swiss Chard - Red</t>
  </si>
  <si>
    <t>Olives - Morracan Dired</t>
  </si>
  <si>
    <t>Dasheen</t>
  </si>
  <si>
    <t>Venison - Denver Leg Boneless</t>
  </si>
  <si>
    <t>Brandy Cherry - Mcguinness</t>
  </si>
  <si>
    <t>Oneshot Automatic Soap System</t>
  </si>
  <si>
    <t>Lemonade - Mandarin, 591 Ml</t>
  </si>
  <si>
    <t>Beef - Bones, Marrow</t>
  </si>
  <si>
    <t>Bread - Corn Muffaleta Onion</t>
  </si>
  <si>
    <t>Flour - Buckwheat, Dark</t>
  </si>
  <si>
    <t>Truffle Cups - Brown</t>
  </si>
  <si>
    <t>Table Cloth 120 Round White</t>
  </si>
  <si>
    <t>Longos - Chicken Cordon Bleu</t>
  </si>
  <si>
    <t>Cheese Cloth No 60</t>
  </si>
  <si>
    <t>Assorted Desserts</t>
  </si>
  <si>
    <t>Noodles - Cellophane, Thin</t>
  </si>
  <si>
    <t>Bagel - Sesame Seed Presliced</t>
  </si>
  <si>
    <t>Yogurt - Blueberry, 175 Gr</t>
  </si>
  <si>
    <t>Wine - Maipo Valle Cabernet</t>
  </si>
  <si>
    <t>Iced Tea - Lemon, 340ml</t>
  </si>
  <si>
    <t>Cornish Hen</t>
  </si>
  <si>
    <t>Chervil - Fresh</t>
  </si>
  <si>
    <t>Pate - Liver</t>
  </si>
  <si>
    <t>Soup Bowl Clear 8oz92008</t>
  </si>
  <si>
    <t>Cattail Hearts</t>
  </si>
  <si>
    <t>Plate Foam Laminated 9in Blk</t>
  </si>
  <si>
    <t>Cookie - Oatmeal</t>
  </si>
  <si>
    <t>Soup - Campbells, Classic Chix</t>
  </si>
  <si>
    <t>Pastry - Apple Large</t>
  </si>
  <si>
    <t>Sauce - White, Mix</t>
  </si>
  <si>
    <t>Oregano - Dry, Rubbed</t>
  </si>
  <si>
    <t>Olives - Nicoise</t>
  </si>
  <si>
    <t>Fruit Mix - Light</t>
  </si>
  <si>
    <t>Currants</t>
  </si>
  <si>
    <t>Shrimp - Black Tiger 13/15</t>
  </si>
  <si>
    <t>Juice - Orangina</t>
  </si>
  <si>
    <t>Juice - V8, Tomato</t>
  </si>
  <si>
    <t>Hummus - Spread</t>
  </si>
  <si>
    <t>Broom - Push</t>
  </si>
  <si>
    <t>Soup Campbells Beef With Veg</t>
  </si>
  <si>
    <t>Lumpfish Black</t>
  </si>
  <si>
    <t>Bread Base - Toscano</t>
  </si>
  <si>
    <t>Potatoes - Peeled</t>
  </si>
  <si>
    <t>Country Roll</t>
  </si>
  <si>
    <t>Pesto - Primerba, Paste</t>
  </si>
  <si>
    <t>Mcguinness - Blue Curacao</t>
  </si>
  <si>
    <t>Snapple - Mango Maddness</t>
  </si>
  <si>
    <t>Mikes Hard Lemonade</t>
  </si>
  <si>
    <t>Pasta - Canelloni</t>
  </si>
  <si>
    <t>Chestnuts - Whole,canned</t>
  </si>
  <si>
    <t>Southern Comfort</t>
  </si>
  <si>
    <t>Squid - U 5</t>
  </si>
  <si>
    <t>Bread - White, Sliced</t>
  </si>
  <si>
    <t>Muffin Mix - Chocolate Chip</t>
  </si>
  <si>
    <t>Pork - Bones</t>
  </si>
  <si>
    <t>Bread - Roll, Soft White Round</t>
  </si>
  <si>
    <t>Pail - 15l White, With Handle</t>
  </si>
  <si>
    <t>Mace Ground</t>
  </si>
  <si>
    <t>Tea - Herbal - 6 Asst</t>
  </si>
  <si>
    <t>Soup - Base Broth Beef</t>
  </si>
  <si>
    <t>Chocolate - Semi Sweet, Calets</t>
  </si>
  <si>
    <t>Coffee - Frthy Coffee Crisp</t>
  </si>
  <si>
    <t>Parsley Italian - Fresh</t>
  </si>
  <si>
    <t>Soho Lychee Liqueur</t>
  </si>
  <si>
    <t>Wine - Fume Blanc Fetzer</t>
  </si>
  <si>
    <t>Russian Prince</t>
  </si>
  <si>
    <t>Soup - French Can Pea</t>
  </si>
  <si>
    <t>Seaweed Green Sheets</t>
  </si>
  <si>
    <t>Rice - Jasmine Sented</t>
  </si>
  <si>
    <t>Bar Mix - Lime</t>
  </si>
  <si>
    <t>Ice Cream - Turtles Stick Bar</t>
  </si>
  <si>
    <t>Quail - Eggs, Fresh</t>
  </si>
  <si>
    <t>Vacuum Bags 12x16</t>
  </si>
  <si>
    <t>Vinegar - Sherry</t>
  </si>
  <si>
    <t>Soup - Boston Clam Chowder</t>
  </si>
  <si>
    <t>Pasta - Penne, Lisce, Dry</t>
  </si>
  <si>
    <t>Bagelers - Cinn / Brown Sugar</t>
  </si>
  <si>
    <t>Pork - Back, Long Cut, Boneless</t>
  </si>
  <si>
    <t>Lid - 10,12,16 Oz</t>
  </si>
  <si>
    <t>Beef - Tenderloin Tails</t>
  </si>
  <si>
    <t>Island Oasis - Strawberry</t>
  </si>
  <si>
    <t>Pasta - Orzo, Dry</t>
  </si>
  <si>
    <t>Celery Root</t>
  </si>
  <si>
    <t>Appetizer - Cheese Bites</t>
  </si>
  <si>
    <t>Cheese - Romano, Grated</t>
  </si>
  <si>
    <t>Triple Sec - Mcguinness</t>
  </si>
  <si>
    <t>Bread - Malt</t>
  </si>
  <si>
    <t>Island Oasis - Pina Colada</t>
  </si>
  <si>
    <t>Pepper - Green, Chili</t>
  </si>
  <si>
    <t>Puree - Mocha</t>
  </si>
  <si>
    <t>Scallop - St. Jaques</t>
  </si>
  <si>
    <t>External Supplier</t>
  </si>
  <si>
    <t>Stock - Veal, White</t>
  </si>
  <si>
    <t>Grapefruit - White</t>
  </si>
  <si>
    <t>Tea - Honey Green Tea</t>
  </si>
  <si>
    <t>Sauce - Thousand Island</t>
  </si>
  <si>
    <t>Godiva White Chocolate</t>
  </si>
  <si>
    <t>Truffle Cups - White Paper</t>
  </si>
  <si>
    <t>Wine - Penfolds Koonuga Hill</t>
  </si>
  <si>
    <t>Chives - Fresh</t>
  </si>
  <si>
    <t>Paper Cocktail Umberlla 80 - 180</t>
  </si>
  <si>
    <t>Lid - 0090 Clear</t>
  </si>
  <si>
    <t>Beef - Tenderloin - Aa</t>
  </si>
  <si>
    <t>Olives - Stuffed</t>
  </si>
  <si>
    <t>Wine - Manischewitz Concord</t>
  </si>
  <si>
    <t>Eel Fresh</t>
  </si>
  <si>
    <t>Tea - English Breakfast</t>
  </si>
  <si>
    <t>Muffin Mix - Carrot</t>
  </si>
  <si>
    <t>Wine - Alicanca Vinho Verde</t>
  </si>
  <si>
    <t>Chocolate Bar - Coffee Crisp</t>
  </si>
  <si>
    <t>Coconut - Shredded, Sweet</t>
  </si>
  <si>
    <t>Muskox - French Rack</t>
  </si>
  <si>
    <t>Chocolate - Milk</t>
  </si>
  <si>
    <t>Sobe - Lizard Fuel</t>
  </si>
  <si>
    <t>Nut - Cashews, Whole, Raw</t>
  </si>
  <si>
    <t>Bread - French Baquette</t>
  </si>
  <si>
    <t>Gherkin</t>
  </si>
  <si>
    <t>Wine - Pinot Noir Stoneleigh</t>
  </si>
  <si>
    <t>Longos - Chicken Curried</t>
  </si>
  <si>
    <t>Beans - French</t>
  </si>
  <si>
    <t>Pork - Tenderloin, Fresh</t>
  </si>
  <si>
    <t>Tart Shells - Barquettes, Savory</t>
  </si>
  <si>
    <t>Table Cloth 72x144 White</t>
  </si>
  <si>
    <t>Wine - Shiraz South Eastern</t>
  </si>
  <si>
    <t>Amarula Cream</t>
  </si>
  <si>
    <t>Pork - Backs - Boneless</t>
  </si>
  <si>
    <t>Clams - Canned</t>
  </si>
  <si>
    <t>Sultanas</t>
  </si>
  <si>
    <t>Lettuce - Treviso</t>
  </si>
  <si>
    <t>Edible Flower - Mixed</t>
  </si>
  <si>
    <t>Flour - Teff</t>
  </si>
  <si>
    <t>Soda Water - Club Soda, 355 Ml</t>
  </si>
  <si>
    <t>Tomatoes</t>
  </si>
  <si>
    <t>Extract - Rum</t>
  </si>
  <si>
    <t>Pepper - Julienne, Frozen</t>
  </si>
  <si>
    <t>Wine - Ej Gallo Sierra Valley</t>
  </si>
  <si>
    <t>Pears - Fiorelle</t>
  </si>
  <si>
    <t>Tomatoes Tear Drop</t>
  </si>
  <si>
    <t>Cheese - Cheddar, Medium</t>
  </si>
  <si>
    <t>Table Cloth 91x91 Colour</t>
  </si>
  <si>
    <t>Cookie Chocolate Chip With</t>
  </si>
  <si>
    <t>Capers - Ox Eye Daisy</t>
  </si>
  <si>
    <t>Roe - Lump Fish, Black</t>
  </si>
  <si>
    <t>Muffin Mix - Morning Glory</t>
  </si>
  <si>
    <t>Ham - Proscuitto</t>
  </si>
  <si>
    <t>Carroway Seed</t>
  </si>
  <si>
    <t>Swordfish Loin Portions</t>
  </si>
  <si>
    <t>Yeast - Fresh, Fleischman</t>
  </si>
  <si>
    <t>Artichoke - Hearts, Canned</t>
  </si>
  <si>
    <t>Lamb Leg - Bone - In Nz</t>
  </si>
  <si>
    <t>Wine - White, Colubia Cresh</t>
  </si>
  <si>
    <t>Tomatoes - Roma</t>
  </si>
  <si>
    <t>Ice Cream Bar - Oreo Cone</t>
  </si>
  <si>
    <t>Basil - Fresh</t>
  </si>
  <si>
    <t>Vodka - Hot, Lnferno</t>
  </si>
  <si>
    <t>Cheese - Camembert</t>
  </si>
  <si>
    <t>Sobe - Berry Energy</t>
  </si>
  <si>
    <t>Sprouts - Bean</t>
  </si>
  <si>
    <t>Pasta - Cappellini, Dry</t>
  </si>
  <si>
    <t>Mcgillicuddy Vanilla Schnap</t>
  </si>
  <si>
    <t>Irish Cream - Butterscotch</t>
  </si>
  <si>
    <t>Mudslide</t>
  </si>
  <si>
    <t>Wine - Red, Mouton Cadet</t>
  </si>
  <si>
    <t>Filter - Coffee</t>
  </si>
  <si>
    <t>Chocolate - Dark Callets</t>
  </si>
  <si>
    <t>Beer - Moosehead</t>
  </si>
  <si>
    <t>Chicken - Leg, Boneless</t>
  </si>
  <si>
    <t>Vaccum Bag - 14x20</t>
  </si>
  <si>
    <t>Veal - Sweetbread</t>
  </si>
  <si>
    <t>Rice - 7 Grain Blend</t>
  </si>
  <si>
    <t>Dill Weed - Fresh</t>
  </si>
  <si>
    <t>Cucumber - Pickling Ontario</t>
  </si>
  <si>
    <t>Soupfoamcont12oz 112con</t>
  </si>
  <si>
    <t>Pepper - Pablano</t>
  </si>
  <si>
    <t>Artichoke - Bottom, Canned</t>
  </si>
  <si>
    <t>Grapes - Black</t>
  </si>
  <si>
    <t>Meldea Green Tea Liquor</t>
  </si>
  <si>
    <t>Cookies - Englishbay Wht</t>
  </si>
  <si>
    <t>Tea Peppermint</t>
  </si>
  <si>
    <t>Chicken - Base, Ultimate</t>
  </si>
  <si>
    <t>Tuna - Fresh</t>
  </si>
  <si>
    <t>Cheese - Mozzarella, Shredded</t>
  </si>
  <si>
    <t>Pop Shoppe Cream Soda</t>
  </si>
  <si>
    <t>Wine - White, Cooking</t>
  </si>
  <si>
    <t>Lamb - Whole Head Off</t>
  </si>
  <si>
    <t>Peas - Pigeon, Dry</t>
  </si>
  <si>
    <t>Water, Tap</t>
  </si>
  <si>
    <t>Soup - Campbells, Chix Gumbo</t>
  </si>
  <si>
    <t>Chocolate - Unsweetened</t>
  </si>
  <si>
    <t>Doilies - 12, Paper</t>
  </si>
  <si>
    <t>Emulsifier</t>
  </si>
  <si>
    <t>Pail With Metal Handle 16l White</t>
  </si>
  <si>
    <t>Dried Cherries</t>
  </si>
  <si>
    <t>594835996-4</t>
  </si>
  <si>
    <t>248610306-6</t>
  </si>
  <si>
    <t>536376100-9</t>
  </si>
  <si>
    <t>358380124-5</t>
  </si>
  <si>
    <t>103995997-0</t>
  </si>
  <si>
    <t>805727752-1</t>
  </si>
  <si>
    <t>130071491-3</t>
  </si>
  <si>
    <t>674374926-5</t>
  </si>
  <si>
    <t>330037639-4</t>
  </si>
  <si>
    <t>327471059-8</t>
  </si>
  <si>
    <t>286725618-6</t>
  </si>
  <si>
    <t>016615810-0</t>
  </si>
  <si>
    <t>712165362-1</t>
  </si>
  <si>
    <t>425702713-4</t>
  </si>
  <si>
    <t>195963409-7</t>
  </si>
  <si>
    <t>388833859-X</t>
  </si>
  <si>
    <t>608357451-X</t>
  </si>
  <si>
    <t>388202659-6</t>
  </si>
  <si>
    <t>670864635-8</t>
  </si>
  <si>
    <t>593168930-3</t>
  </si>
  <si>
    <t>706105233-3</t>
  </si>
  <si>
    <t>319426340-4</t>
  </si>
  <si>
    <t>004100300-4</t>
  </si>
  <si>
    <t>723249697-4</t>
  </si>
  <si>
    <t>430523912-4</t>
  </si>
  <si>
    <t>415623711-7</t>
  </si>
  <si>
    <t>267866460-0</t>
  </si>
  <si>
    <t>083556273-5</t>
  </si>
  <si>
    <t>018779380-8</t>
  </si>
  <si>
    <t>233067364-7</t>
  </si>
  <si>
    <t>983984162-9</t>
  </si>
  <si>
    <t>685492719-6</t>
  </si>
  <si>
    <t>020131185-2</t>
  </si>
  <si>
    <t>228573620-7</t>
  </si>
  <si>
    <t>931935146-5</t>
  </si>
  <si>
    <t>191838363-4</t>
  </si>
  <si>
    <t>515865696-7</t>
  </si>
  <si>
    <t>648618663-1</t>
  </si>
  <si>
    <t>947735173-3</t>
  </si>
  <si>
    <t>281182794-3</t>
  </si>
  <si>
    <t>938567971-6</t>
  </si>
  <si>
    <t>186045986-2</t>
  </si>
  <si>
    <t>897952471-4</t>
  </si>
  <si>
    <t>301102141-4</t>
  </si>
  <si>
    <t>721089677-5</t>
  </si>
  <si>
    <t>612951978-8</t>
  </si>
  <si>
    <t>743254322-4</t>
  </si>
  <si>
    <t>970806787-3</t>
  </si>
  <si>
    <t>327347455-6</t>
  </si>
  <si>
    <t>172329645-7</t>
  </si>
  <si>
    <t>718008189-2</t>
  </si>
  <si>
    <t>874161116-0</t>
  </si>
  <si>
    <t>716596081-3</t>
  </si>
  <si>
    <t>657043400-4</t>
  </si>
  <si>
    <t>167092366-5</t>
  </si>
  <si>
    <t>047886541-4</t>
  </si>
  <si>
    <t>031277470-2</t>
  </si>
  <si>
    <t>268342624-0</t>
  </si>
  <si>
    <t>660965619-3</t>
  </si>
  <si>
    <t>147864644-6</t>
  </si>
  <si>
    <t>108228188-3</t>
  </si>
  <si>
    <t>851252800-1</t>
  </si>
  <si>
    <t>082553754-1</t>
  </si>
  <si>
    <t>153768508-2</t>
  </si>
  <si>
    <t>040561134-X</t>
  </si>
  <si>
    <t>057864664-1</t>
  </si>
  <si>
    <t>537164424-5</t>
  </si>
  <si>
    <t>699519037-8</t>
  </si>
  <si>
    <t>766346216-5</t>
  </si>
  <si>
    <t>605997479-1</t>
  </si>
  <si>
    <t>589005814-2</t>
  </si>
  <si>
    <t>109648763-2</t>
  </si>
  <si>
    <t>086828536-6</t>
  </si>
  <si>
    <t>872026071-7</t>
  </si>
  <si>
    <t>109503162-7</t>
  </si>
  <si>
    <t>313138780-7</t>
  </si>
  <si>
    <t>090276192-7</t>
  </si>
  <si>
    <t>416964539-1</t>
  </si>
  <si>
    <t>176053312-2</t>
  </si>
  <si>
    <t>601907967-8</t>
  </si>
  <si>
    <t>959395202-0</t>
  </si>
  <si>
    <t>419175368-1</t>
  </si>
  <si>
    <t>022793953-0</t>
  </si>
  <si>
    <t>804018915-2</t>
  </si>
  <si>
    <t>706006385-4</t>
  </si>
  <si>
    <t>365144462-7</t>
  </si>
  <si>
    <t>617805951-5</t>
  </si>
  <si>
    <t>961815796-2</t>
  </si>
  <si>
    <t>748095516-2</t>
  </si>
  <si>
    <t>473697710-8</t>
  </si>
  <si>
    <t>953714771-1</t>
  </si>
  <si>
    <t>531941191-X</t>
  </si>
  <si>
    <t>982460138-4</t>
  </si>
  <si>
    <t>303255225-7</t>
  </si>
  <si>
    <t>771355876-4</t>
  </si>
  <si>
    <t>037095530-7</t>
  </si>
  <si>
    <t>988301293-4</t>
  </si>
  <si>
    <t>894031567-7</t>
  </si>
  <si>
    <t>247385021-6</t>
  </si>
  <si>
    <t>215694207-2</t>
  </si>
  <si>
    <t>377994116-3</t>
  </si>
  <si>
    <t>700276892-1</t>
  </si>
  <si>
    <t>757605698-3</t>
  </si>
  <si>
    <t>448562751-9</t>
  </si>
  <si>
    <t>551633353-9</t>
  </si>
  <si>
    <t>241033250-1</t>
  </si>
  <si>
    <t>187662947-9</t>
  </si>
  <si>
    <t>424735860-X</t>
  </si>
  <si>
    <t>956364293-7</t>
  </si>
  <si>
    <t>603274305-5</t>
  </si>
  <si>
    <t>644608503-6</t>
  </si>
  <si>
    <t>385633854-3</t>
  </si>
  <si>
    <t>805902968-1</t>
  </si>
  <si>
    <t>778108548-5</t>
  </si>
  <si>
    <t>523913091-4</t>
  </si>
  <si>
    <t>135147266-6</t>
  </si>
  <si>
    <t>471981452-2</t>
  </si>
  <si>
    <t>384072195-4</t>
  </si>
  <si>
    <t>841598780-3</t>
  </si>
  <si>
    <t>592736320-2</t>
  </si>
  <si>
    <t>722109062-9</t>
  </si>
  <si>
    <t>921045103-1</t>
  </si>
  <si>
    <t>553634852-3</t>
  </si>
  <si>
    <t>123204896-8</t>
  </si>
  <si>
    <t>806812946-4</t>
  </si>
  <si>
    <t>815582354-7</t>
  </si>
  <si>
    <t>911141614-9</t>
  </si>
  <si>
    <t>942244765-8</t>
  </si>
  <si>
    <t>688617697-8</t>
  </si>
  <si>
    <t>793652092-9</t>
  </si>
  <si>
    <t>236021850-6</t>
  </si>
  <si>
    <t>867969870-9</t>
  </si>
  <si>
    <t>581763306-X</t>
  </si>
  <si>
    <t>430309743-8</t>
  </si>
  <si>
    <t>783569784-X</t>
  </si>
  <si>
    <t>373064748-2</t>
  </si>
  <si>
    <t>639663351-5</t>
  </si>
  <si>
    <t>372006484-0</t>
  </si>
  <si>
    <t>755963098-7</t>
  </si>
  <si>
    <t>786900573-8</t>
  </si>
  <si>
    <t>720079508-9</t>
  </si>
  <si>
    <t>368531380-0</t>
  </si>
  <si>
    <t>684822818-4</t>
  </si>
  <si>
    <t>510736978-2</t>
  </si>
  <si>
    <t>108221929-0</t>
  </si>
  <si>
    <t>508662443-6</t>
  </si>
  <si>
    <t>930314976-9</t>
  </si>
  <si>
    <t>231912734-8</t>
  </si>
  <si>
    <t>848889001-X</t>
  </si>
  <si>
    <t>060392079-9</t>
  </si>
  <si>
    <t>568447638-4</t>
  </si>
  <si>
    <t>666447852-8</t>
  </si>
  <si>
    <t>345304726-5</t>
  </si>
  <si>
    <t>420998108-7</t>
  </si>
  <si>
    <t>751440883-5</t>
  </si>
  <si>
    <t>133197816-5</t>
  </si>
  <si>
    <t>318403775-4</t>
  </si>
  <si>
    <t>143610469-6</t>
  </si>
  <si>
    <t>960364856-6</t>
  </si>
  <si>
    <t>939495666-2</t>
  </si>
  <si>
    <t>083276009-9</t>
  </si>
  <si>
    <t>338340720-9</t>
  </si>
  <si>
    <t>257838390-1</t>
  </si>
  <si>
    <t>106181084-4</t>
  </si>
  <si>
    <t>610980518-1</t>
  </si>
  <si>
    <t>894077072-2</t>
  </si>
  <si>
    <t>084170537-2</t>
  </si>
  <si>
    <t>074014041-8</t>
  </si>
  <si>
    <t>267945772-2</t>
  </si>
  <si>
    <t>890704596-8</t>
  </si>
  <si>
    <t>117847586-7</t>
  </si>
  <si>
    <t>790194776-4</t>
  </si>
  <si>
    <t>942532834-X</t>
  </si>
  <si>
    <t>531369995-4</t>
  </si>
  <si>
    <t>546519462-6</t>
  </si>
  <si>
    <t>201258250-8</t>
  </si>
  <si>
    <t>315912352-9</t>
  </si>
  <si>
    <t>677005913-4</t>
  </si>
  <si>
    <t>611523288-0</t>
  </si>
  <si>
    <t>819950531-1</t>
  </si>
  <si>
    <t>888641414-5</t>
  </si>
  <si>
    <t>362413638-0</t>
  </si>
  <si>
    <t>259599215-5</t>
  </si>
  <si>
    <t>560250254-8</t>
  </si>
  <si>
    <t>158092883-8</t>
  </si>
  <si>
    <t>702555334-4</t>
  </si>
  <si>
    <t>449349095-0</t>
  </si>
  <si>
    <t>136099756-3</t>
  </si>
  <si>
    <t>061475328-7</t>
  </si>
  <si>
    <t>648780820-2</t>
  </si>
  <si>
    <t>770924308-8</t>
  </si>
  <si>
    <t>323007043-7</t>
  </si>
  <si>
    <t>094162021-2</t>
  </si>
  <si>
    <t>092188195-9</t>
  </si>
  <si>
    <t>156523722-6</t>
  </si>
  <si>
    <t>746795886-2</t>
  </si>
  <si>
    <t>120697704-3</t>
  </si>
  <si>
    <t>554777762-5</t>
  </si>
  <si>
    <t>442374420-1</t>
  </si>
  <si>
    <t>230129806-X</t>
  </si>
  <si>
    <t>507885430-4</t>
  </si>
  <si>
    <t>675121470-7</t>
  </si>
  <si>
    <t>861126853-9</t>
  </si>
  <si>
    <t>303803634-X</t>
  </si>
  <si>
    <t>823026782-0</t>
  </si>
  <si>
    <t>329862933-2</t>
  </si>
  <si>
    <t>833450631-7</t>
  </si>
  <si>
    <t>889588416-7</t>
  </si>
  <si>
    <t>506296103-3</t>
  </si>
  <si>
    <t>237599483-3</t>
  </si>
  <si>
    <t>906751666-X</t>
  </si>
  <si>
    <t>622072482-8</t>
  </si>
  <si>
    <t>015099462-1</t>
  </si>
  <si>
    <t>132096850-3</t>
  </si>
  <si>
    <t>684443513-4</t>
  </si>
  <si>
    <t>076194395-1</t>
  </si>
  <si>
    <t>305676927-2</t>
  </si>
  <si>
    <t>202366649-X</t>
  </si>
  <si>
    <t>650108005-3</t>
  </si>
  <si>
    <t>942111610-0</t>
  </si>
  <si>
    <t>322018323-9</t>
  </si>
  <si>
    <t>906882247-0</t>
  </si>
  <si>
    <t>961109588-0</t>
  </si>
  <si>
    <t>804854324-9</t>
  </si>
  <si>
    <t>094843567-4</t>
  </si>
  <si>
    <t>520852833-9</t>
  </si>
  <si>
    <t>786163178-8</t>
  </si>
  <si>
    <t>829935935-X</t>
  </si>
  <si>
    <t>071220301-X</t>
  </si>
  <si>
    <t>015991870-7</t>
  </si>
  <si>
    <t>483140092-0</t>
  </si>
  <si>
    <t>269631067-X</t>
  </si>
  <si>
    <t>637197039-9</t>
  </si>
  <si>
    <t>666028421-4</t>
  </si>
  <si>
    <t>334404529-6</t>
  </si>
  <si>
    <t>654241914-4</t>
  </si>
  <si>
    <t>143623034-9</t>
  </si>
  <si>
    <t>900141030-8</t>
  </si>
  <si>
    <t>675265487-5</t>
  </si>
  <si>
    <t>806564039-7</t>
  </si>
  <si>
    <t>346341138-5</t>
  </si>
  <si>
    <t>341377637-1</t>
  </si>
  <si>
    <t>126685004-X</t>
  </si>
  <si>
    <t>090110987-8</t>
  </si>
  <si>
    <t>045274484-9</t>
  </si>
  <si>
    <t>755075861-1</t>
  </si>
  <si>
    <t>251577728-7</t>
  </si>
  <si>
    <t>529172062-X</t>
  </si>
  <si>
    <t>047234200-2</t>
  </si>
  <si>
    <t>333350566-5</t>
  </si>
  <si>
    <t>528150345-6</t>
  </si>
  <si>
    <t>215510814-1</t>
  </si>
  <si>
    <t>158956730-7</t>
  </si>
  <si>
    <t>679153691-8</t>
  </si>
  <si>
    <t>720062990-1</t>
  </si>
  <si>
    <t>939156841-6</t>
  </si>
  <si>
    <t>124838469-5</t>
  </si>
  <si>
    <t>375635308-7</t>
  </si>
  <si>
    <t>125106205-9</t>
  </si>
  <si>
    <t>847896719-2</t>
  </si>
  <si>
    <t>657749888-1</t>
  </si>
  <si>
    <t>463811775-9</t>
  </si>
  <si>
    <t>361155194-5</t>
  </si>
  <si>
    <t>372778224-2</t>
  </si>
  <si>
    <t>747475541-6</t>
  </si>
  <si>
    <t>972342240-9</t>
  </si>
  <si>
    <t>909595195-2</t>
  </si>
  <si>
    <t>022482734-0</t>
  </si>
  <si>
    <t>343623350-1</t>
  </si>
  <si>
    <t>191480790-1</t>
  </si>
  <si>
    <t>691510036-9</t>
  </si>
  <si>
    <t>935404317-8</t>
  </si>
  <si>
    <t>192370654-3</t>
  </si>
  <si>
    <t>395823246-9</t>
  </si>
  <si>
    <t>413688420-6</t>
  </si>
  <si>
    <t>342981826-5</t>
  </si>
  <si>
    <t>456512796-2</t>
  </si>
  <si>
    <t>103620456-1</t>
  </si>
  <si>
    <t>699540891-8</t>
  </si>
  <si>
    <t>935677092-1</t>
  </si>
  <si>
    <t>956045444-7</t>
  </si>
  <si>
    <t>784256623-2</t>
  </si>
  <si>
    <t>490198723-2</t>
  </si>
  <si>
    <t>913131488-0</t>
  </si>
  <si>
    <t>485759833-7</t>
  </si>
  <si>
    <t>539520634-5</t>
  </si>
  <si>
    <t>682996260-9</t>
  </si>
  <si>
    <t>737755123-2</t>
  </si>
  <si>
    <t>210608014-X</t>
  </si>
  <si>
    <t>556105012-5</t>
  </si>
  <si>
    <t>082052853-6</t>
  </si>
  <si>
    <t>359207841-0</t>
  </si>
  <si>
    <t>762827314-9</t>
  </si>
  <si>
    <t>756058059-9</t>
  </si>
  <si>
    <t>577898666-1</t>
  </si>
  <si>
    <t>089965191-7</t>
  </si>
  <si>
    <t>144462563-2</t>
  </si>
  <si>
    <t>605832439-4</t>
  </si>
  <si>
    <t>558911929-4</t>
  </si>
  <si>
    <t>057825717-3</t>
  </si>
  <si>
    <t>894245489-5</t>
  </si>
  <si>
    <t>473794812-8</t>
  </si>
  <si>
    <t>861716267-8</t>
  </si>
  <si>
    <t>559178369-4</t>
  </si>
  <si>
    <t>835313082-3</t>
  </si>
  <si>
    <t>250688015-1</t>
  </si>
  <si>
    <t>310373454-9</t>
  </si>
  <si>
    <t>061572261-X</t>
  </si>
  <si>
    <t>603541631-4</t>
  </si>
  <si>
    <t>477777460-0</t>
  </si>
  <si>
    <t>865103402-4</t>
  </si>
  <si>
    <t>007479491-4</t>
  </si>
  <si>
    <t>373713317-4</t>
  </si>
  <si>
    <t>244280485-9</t>
  </si>
  <si>
    <t>501744148-4</t>
  </si>
  <si>
    <t>998700070-3</t>
  </si>
  <si>
    <t>538045511-5</t>
  </si>
  <si>
    <t>357624450-6</t>
  </si>
  <si>
    <t>049011646-9</t>
  </si>
  <si>
    <t>693009693-8</t>
  </si>
  <si>
    <t>377201345-7</t>
  </si>
  <si>
    <t>228600739-X</t>
  </si>
  <si>
    <t>084222234-0</t>
  </si>
  <si>
    <t>452521574-7</t>
  </si>
  <si>
    <t>872795703-9</t>
  </si>
  <si>
    <t>892214485-8</t>
  </si>
  <si>
    <t>448719810-0</t>
  </si>
  <si>
    <t>490124325-X</t>
  </si>
  <si>
    <t>230877799-0</t>
  </si>
  <si>
    <t>632985499-8</t>
  </si>
  <si>
    <t>104643340-7</t>
  </si>
  <si>
    <t>371152232-7</t>
  </si>
  <si>
    <t>734848947-8</t>
  </si>
  <si>
    <t>948103755-X</t>
  </si>
  <si>
    <t>760066646-4</t>
  </si>
  <si>
    <t>721608303-2</t>
  </si>
  <si>
    <t>257570139-2</t>
  </si>
  <si>
    <t>417578325-3</t>
  </si>
  <si>
    <t>805298935-3</t>
  </si>
  <si>
    <t>304166384-8</t>
  </si>
  <si>
    <t>902204751-2</t>
  </si>
  <si>
    <t>963332705-9</t>
  </si>
  <si>
    <t>863228026-0</t>
  </si>
  <si>
    <t>023963748-8</t>
  </si>
  <si>
    <t>947331286-5</t>
  </si>
  <si>
    <t>234295451-4</t>
  </si>
  <si>
    <t>227879810-3</t>
  </si>
  <si>
    <t>527770251-2</t>
  </si>
  <si>
    <t>055097702-3</t>
  </si>
  <si>
    <t>268748616-7</t>
  </si>
  <si>
    <t>445280329-6</t>
  </si>
  <si>
    <t>343940660-1</t>
  </si>
  <si>
    <t>567592191-5</t>
  </si>
  <si>
    <t>908801777-8</t>
  </si>
  <si>
    <t>270703686-2</t>
  </si>
  <si>
    <t>374423941-1</t>
  </si>
  <si>
    <t>423470170-X</t>
  </si>
  <si>
    <t>753316305-2</t>
  </si>
  <si>
    <t>128165002-1</t>
  </si>
  <si>
    <t>984327093-2</t>
  </si>
  <si>
    <t>841506479-9</t>
  </si>
  <si>
    <t>823664875-3</t>
  </si>
  <si>
    <t>564915077-X</t>
  </si>
  <si>
    <t>418294060-1</t>
  </si>
  <si>
    <t>291364706-5</t>
  </si>
  <si>
    <t>081698600-2</t>
  </si>
  <si>
    <t>977951573-9</t>
  </si>
  <si>
    <t>724207621-8</t>
  </si>
  <si>
    <t>449369871-3</t>
  </si>
  <si>
    <t>412853910-4</t>
  </si>
  <si>
    <t>844073702-5</t>
  </si>
  <si>
    <t>908363069-2</t>
  </si>
  <si>
    <t>638812532-8</t>
  </si>
  <si>
    <t>754288655-X</t>
  </si>
  <si>
    <t>654291566-4</t>
  </si>
  <si>
    <t>618773418-1</t>
  </si>
  <si>
    <t>876446699-X</t>
  </si>
  <si>
    <t>691564001-0</t>
  </si>
  <si>
    <t>912941321-4</t>
  </si>
  <si>
    <t>116465804-2</t>
  </si>
  <si>
    <t>917470513-X</t>
  </si>
  <si>
    <t>102908096-8</t>
  </si>
  <si>
    <t>500246150-6</t>
  </si>
  <si>
    <t>632278395-5</t>
  </si>
  <si>
    <t>508511135-4</t>
  </si>
  <si>
    <t>679754073-9</t>
  </si>
  <si>
    <t>100278676-2</t>
  </si>
  <si>
    <t>127187084-3</t>
  </si>
  <si>
    <t>029537929-4</t>
  </si>
  <si>
    <t>226601598-2</t>
  </si>
  <si>
    <t>933802608-6</t>
  </si>
  <si>
    <t>336929958-5</t>
  </si>
  <si>
    <t>162233586-4</t>
  </si>
  <si>
    <t>048397838-8</t>
  </si>
  <si>
    <t>738501597-2</t>
  </si>
  <si>
    <t>003609299-1</t>
  </si>
  <si>
    <t>050569341-0</t>
  </si>
  <si>
    <t>789148371-X</t>
  </si>
  <si>
    <t>743448833-6</t>
  </si>
  <si>
    <t>606186836-7</t>
  </si>
  <si>
    <t>743049703-9</t>
  </si>
  <si>
    <t>253425859-1</t>
  </si>
  <si>
    <t>659706385-6</t>
  </si>
  <si>
    <t>338852060-7</t>
  </si>
  <si>
    <t>909757875-2</t>
  </si>
  <si>
    <t>234688143-0</t>
  </si>
  <si>
    <t>175696724-5</t>
  </si>
  <si>
    <t>623248068-6</t>
  </si>
  <si>
    <t>158676955-3</t>
  </si>
  <si>
    <t>703802556-2</t>
  </si>
  <si>
    <t>335684560-8</t>
  </si>
  <si>
    <t>329909153-0</t>
  </si>
  <si>
    <t>673445981-0</t>
  </si>
  <si>
    <t>592959624-7</t>
  </si>
  <si>
    <t>121649505-X</t>
  </si>
  <si>
    <t>859088955-6</t>
  </si>
  <si>
    <t>211055209-3</t>
  </si>
  <si>
    <t>561256001-X</t>
  </si>
  <si>
    <t>294463225-6</t>
  </si>
  <si>
    <t>364242701-4</t>
  </si>
  <si>
    <t>391237472-4</t>
  </si>
  <si>
    <t>085244246-7</t>
  </si>
  <si>
    <t>031838953-3</t>
  </si>
  <si>
    <t>293852967-8</t>
  </si>
  <si>
    <t>624105992-0</t>
  </si>
  <si>
    <t>645193709-6</t>
  </si>
  <si>
    <t>105951088-X</t>
  </si>
  <si>
    <t>306843812-8</t>
  </si>
  <si>
    <t>818339557-0</t>
  </si>
  <si>
    <t>615451043-8</t>
  </si>
  <si>
    <t>863526151-8</t>
  </si>
  <si>
    <t>440001172-0</t>
  </si>
  <si>
    <t>931923394-2</t>
  </si>
  <si>
    <t>103382077-6</t>
  </si>
  <si>
    <t>385010277-7</t>
  </si>
  <si>
    <t>868219896-7</t>
  </si>
  <si>
    <t>298365569-5</t>
  </si>
  <si>
    <t>464808529-9</t>
  </si>
  <si>
    <t>847706623-X</t>
  </si>
  <si>
    <t>910893272-7</t>
  </si>
  <si>
    <t>046999698-6</t>
  </si>
  <si>
    <t>069443661-5</t>
  </si>
  <si>
    <t>234578058-4</t>
  </si>
  <si>
    <t>457178067-2</t>
  </si>
  <si>
    <t>949457485-0</t>
  </si>
  <si>
    <t>339206326-6</t>
  </si>
  <si>
    <t>780085575-9</t>
  </si>
  <si>
    <t>205908865-8</t>
  </si>
  <si>
    <t>820311396-6</t>
  </si>
  <si>
    <t>669583486-5</t>
  </si>
  <si>
    <t>666058460-9</t>
  </si>
  <si>
    <t>251210904-6</t>
  </si>
  <si>
    <t>467860542-8</t>
  </si>
  <si>
    <t>506919109-8</t>
  </si>
  <si>
    <t>355825297-7</t>
  </si>
  <si>
    <t>029177262-5</t>
  </si>
  <si>
    <t>142459147-3</t>
  </si>
  <si>
    <t>243226729-X</t>
  </si>
  <si>
    <t>032035414-8</t>
  </si>
  <si>
    <t>321621339-0</t>
  </si>
  <si>
    <t>087825336-X</t>
  </si>
  <si>
    <t>277806815-5</t>
  </si>
  <si>
    <t>787808878-0</t>
  </si>
  <si>
    <t>332981819-0</t>
  </si>
  <si>
    <t>687942411-2</t>
  </si>
  <si>
    <t>450667645-9</t>
  </si>
  <si>
    <t>081953788-8</t>
  </si>
  <si>
    <t>771010289-1</t>
  </si>
  <si>
    <t>199701705-9</t>
  </si>
  <si>
    <t>234313274-7</t>
  </si>
  <si>
    <t>089909337-X</t>
  </si>
  <si>
    <t>027582542-6</t>
  </si>
  <si>
    <t>407013183-3</t>
  </si>
  <si>
    <t>741417908-7</t>
  </si>
  <si>
    <t>162091611-8</t>
  </si>
  <si>
    <t>301942134-9</t>
  </si>
  <si>
    <t>942210079-8</t>
  </si>
  <si>
    <t>261743952-6</t>
  </si>
  <si>
    <t>289370294-5</t>
  </si>
  <si>
    <t>681041525-4</t>
  </si>
  <si>
    <t>943836114-6</t>
  </si>
  <si>
    <t>937361798-2</t>
  </si>
  <si>
    <t>623061753-6</t>
  </si>
  <si>
    <t>729399716-7</t>
  </si>
  <si>
    <t>718277281-7</t>
  </si>
  <si>
    <t>354182663-0</t>
  </si>
  <si>
    <t>634558657-9</t>
  </si>
  <si>
    <t>129100964-7</t>
  </si>
  <si>
    <t>902683895-6</t>
  </si>
  <si>
    <t>156441794-8</t>
  </si>
  <si>
    <t>509070464-3</t>
  </si>
  <si>
    <t>327176962-1</t>
  </si>
  <si>
    <t>430381579-9</t>
  </si>
  <si>
    <t>984892993-2</t>
  </si>
  <si>
    <t>293716373-4</t>
  </si>
  <si>
    <t>890351814-4</t>
  </si>
  <si>
    <t>785690318-X</t>
  </si>
  <si>
    <t>685667403-1</t>
  </si>
  <si>
    <t>833564257-5</t>
  </si>
  <si>
    <t>651262128-X</t>
  </si>
  <si>
    <t>378789018-1</t>
  </si>
  <si>
    <t>435157517-4</t>
  </si>
  <si>
    <t>597803657-8</t>
  </si>
  <si>
    <t>519561916-6</t>
  </si>
  <si>
    <t>263637306-3</t>
  </si>
  <si>
    <t>631562730-7</t>
  </si>
  <si>
    <t>120204532-4</t>
  </si>
  <si>
    <t>683827198-2</t>
  </si>
  <si>
    <t>627228438-1</t>
  </si>
  <si>
    <t>124331407-9</t>
  </si>
  <si>
    <t>460336145-9</t>
  </si>
  <si>
    <t>565779958-5</t>
  </si>
  <si>
    <t>551423750-8</t>
  </si>
  <si>
    <t>793367070-9</t>
  </si>
  <si>
    <t>991256168-6</t>
  </si>
  <si>
    <t>037332547-9</t>
  </si>
  <si>
    <t>756800009-5</t>
  </si>
  <si>
    <t>349891601-7</t>
  </si>
  <si>
    <t>800852284-4</t>
  </si>
  <si>
    <t>518772206-9</t>
  </si>
  <si>
    <t>583658850-3</t>
  </si>
  <si>
    <t>811150655-4</t>
  </si>
  <si>
    <t>988458208-4</t>
  </si>
  <si>
    <t>824620368-1</t>
  </si>
  <si>
    <t>252136862-8</t>
  </si>
  <si>
    <t>934379448-7</t>
  </si>
  <si>
    <t>004045610-2</t>
  </si>
  <si>
    <t>964070777-5</t>
  </si>
  <si>
    <t>066150060-8</t>
  </si>
  <si>
    <t>800320204-3</t>
  </si>
  <si>
    <t>709853123-5</t>
  </si>
  <si>
    <t>518060145-2</t>
  </si>
  <si>
    <t>461706391-9</t>
  </si>
  <si>
    <t>573701700-1</t>
  </si>
  <si>
    <t>176550659-X</t>
  </si>
  <si>
    <t>722298826-2</t>
  </si>
  <si>
    <t>999248926-X</t>
  </si>
  <si>
    <t>813760842-7</t>
  </si>
  <si>
    <t>972215256-4</t>
  </si>
  <si>
    <t>875334066-3</t>
  </si>
  <si>
    <t>390256638-8</t>
  </si>
  <si>
    <t>831652452-X</t>
  </si>
  <si>
    <t>878748374-2</t>
  </si>
  <si>
    <t>704002665-1</t>
  </si>
  <si>
    <t>453134437-5</t>
  </si>
  <si>
    <t>015266243-X</t>
  </si>
  <si>
    <t>716982793-X</t>
  </si>
  <si>
    <t>233844512-0</t>
  </si>
  <si>
    <t>204314610-6</t>
  </si>
  <si>
    <t>081333851-4</t>
  </si>
  <si>
    <t>925340005-6</t>
  </si>
  <si>
    <t>489672227-2</t>
  </si>
  <si>
    <t>575509033-5</t>
  </si>
  <si>
    <t>581514504-1</t>
  </si>
  <si>
    <t>015986034-2</t>
  </si>
  <si>
    <t>314807936-1</t>
  </si>
  <si>
    <t>333094103-0</t>
  </si>
  <si>
    <t>361747846-8</t>
  </si>
  <si>
    <t>782946633-5</t>
  </si>
  <si>
    <t>113519628-1</t>
  </si>
  <si>
    <t>505480999-6</t>
  </si>
  <si>
    <t>348557990-4</t>
  </si>
  <si>
    <t>215790660-6</t>
  </si>
  <si>
    <t>127984734-4</t>
  </si>
  <si>
    <t>868842927-8</t>
  </si>
  <si>
    <t>595940789-2</t>
  </si>
  <si>
    <t>411018966-7</t>
  </si>
  <si>
    <t>182241377-X</t>
  </si>
  <si>
    <t>986235531-X</t>
  </si>
  <si>
    <t>510226850-3</t>
  </si>
  <si>
    <t>328212198-9</t>
  </si>
  <si>
    <t>710378163-X</t>
  </si>
  <si>
    <t>523533052-8</t>
  </si>
  <si>
    <t>225056174-5</t>
  </si>
  <si>
    <t>952800615-9</t>
  </si>
  <si>
    <t>328535162-4</t>
  </si>
  <si>
    <t>857609008-2</t>
  </si>
  <si>
    <t>661412913-9</t>
  </si>
  <si>
    <t>512067038-5</t>
  </si>
  <si>
    <t>940614526-X</t>
  </si>
  <si>
    <t>597724696-X</t>
  </si>
  <si>
    <t>125422412-2</t>
  </si>
  <si>
    <t>271920611-3</t>
  </si>
  <si>
    <t>496460439-X</t>
  </si>
  <si>
    <t>638484921-6</t>
  </si>
  <si>
    <t>340767974-2</t>
  </si>
  <si>
    <t>288906529-4</t>
  </si>
  <si>
    <t>785467198-2</t>
  </si>
  <si>
    <t>803197472-1</t>
  </si>
  <si>
    <t>829617626-2</t>
  </si>
  <si>
    <t>171651271-9</t>
  </si>
  <si>
    <t>203530985-9</t>
  </si>
  <si>
    <t>086417448-9</t>
  </si>
  <si>
    <t>500091186-5</t>
  </si>
  <si>
    <t>923118023-1</t>
  </si>
  <si>
    <t>445378193-8</t>
  </si>
  <si>
    <t>065328650-3</t>
  </si>
  <si>
    <t>060574927-2</t>
  </si>
  <si>
    <t>385357522-6</t>
  </si>
  <si>
    <t>989708359-6</t>
  </si>
  <si>
    <t>172784720-2</t>
  </si>
  <si>
    <t>083563909-6</t>
  </si>
  <si>
    <t>462580127-3</t>
  </si>
  <si>
    <t>720380860-2</t>
  </si>
  <si>
    <t>403047378-4</t>
  </si>
  <si>
    <t>904679149-1</t>
  </si>
  <si>
    <t>193841441-1</t>
  </si>
  <si>
    <t>112766777-7</t>
  </si>
  <si>
    <t>492454106-0</t>
  </si>
  <si>
    <t>847198411-3</t>
  </si>
  <si>
    <t>454166443-7</t>
  </si>
  <si>
    <t>600012387-6</t>
  </si>
  <si>
    <t>565693947-2</t>
  </si>
  <si>
    <t>529609830-7</t>
  </si>
  <si>
    <t>811935110-X</t>
  </si>
  <si>
    <t>607785295-3</t>
  </si>
  <si>
    <t>220226415-9</t>
  </si>
  <si>
    <t>132775197-6</t>
  </si>
  <si>
    <t>739879391-X</t>
  </si>
  <si>
    <t>215021844-5</t>
  </si>
  <si>
    <t>880417041-7</t>
  </si>
  <si>
    <t>628669878-7</t>
  </si>
  <si>
    <t>346120978-3</t>
  </si>
  <si>
    <t>674527710-7</t>
  </si>
  <si>
    <t>613932622-2</t>
  </si>
  <si>
    <t>608727294-1</t>
  </si>
  <si>
    <t>351196663-9</t>
  </si>
  <si>
    <t>464136356-0</t>
  </si>
  <si>
    <t>570898092-3</t>
  </si>
  <si>
    <t>073331499-6</t>
  </si>
  <si>
    <t>338387318-8</t>
  </si>
  <si>
    <t>754393154-0</t>
  </si>
  <si>
    <t>842752056-5</t>
  </si>
  <si>
    <t>873971477-2</t>
  </si>
  <si>
    <t>036180665-5</t>
  </si>
  <si>
    <t>552285473-1</t>
  </si>
  <si>
    <t>332253312-3</t>
  </si>
  <si>
    <t>037968756-9</t>
  </si>
  <si>
    <t>478113052-6</t>
  </si>
  <si>
    <t>027797011-3</t>
  </si>
  <si>
    <t>389315235-0</t>
  </si>
  <si>
    <t>489495605-5</t>
  </si>
  <si>
    <t>494642084-3</t>
  </si>
  <si>
    <t>018649832-2</t>
  </si>
  <si>
    <t>372251397-9</t>
  </si>
  <si>
    <t>177616883-6</t>
  </si>
  <si>
    <t>342368802-5</t>
  </si>
  <si>
    <t>352745269-9</t>
  </si>
  <si>
    <t>664493237-1</t>
  </si>
  <si>
    <t>013128584-X</t>
  </si>
  <si>
    <t>269403204-4</t>
  </si>
  <si>
    <t>524237139-0</t>
  </si>
  <si>
    <t>847640932-X</t>
  </si>
  <si>
    <t>347363368-2</t>
  </si>
  <si>
    <t>575769228-6</t>
  </si>
  <si>
    <t>114150634-3</t>
  </si>
  <si>
    <t>900182410-2</t>
  </si>
  <si>
    <t>559985760-3</t>
  </si>
  <si>
    <t>448332079-3</t>
  </si>
  <si>
    <t>786968108-3</t>
  </si>
  <si>
    <t>094501208-X</t>
  </si>
  <si>
    <t>654122215-0</t>
  </si>
  <si>
    <t>784760226-1</t>
  </si>
  <si>
    <t>866208787-6</t>
  </si>
  <si>
    <t>040014803-X</t>
  </si>
  <si>
    <t>955123371-9</t>
  </si>
  <si>
    <t>814509317-1</t>
  </si>
  <si>
    <t>910255394-5</t>
  </si>
  <si>
    <t>318070257-5</t>
  </si>
  <si>
    <t>142248088-7</t>
  </si>
  <si>
    <t>840108317-6</t>
  </si>
  <si>
    <t>172441303-1</t>
  </si>
  <si>
    <t>502562383-9</t>
  </si>
  <si>
    <t>456688949-1</t>
  </si>
  <si>
    <t>710842838-5</t>
  </si>
  <si>
    <t>843401530-7</t>
  </si>
  <si>
    <t>381323414-2</t>
  </si>
  <si>
    <t>801277912-9</t>
  </si>
  <si>
    <t>714910546-7</t>
  </si>
  <si>
    <t>963058989-3</t>
  </si>
  <si>
    <t>565862620-X</t>
  </si>
  <si>
    <t>740931833-3</t>
  </si>
  <si>
    <t>688650838-5</t>
  </si>
  <si>
    <t>291212808-0</t>
  </si>
  <si>
    <t>509180720-9</t>
  </si>
  <si>
    <t>567799499-5</t>
  </si>
  <si>
    <t>640239707-5</t>
  </si>
  <si>
    <t>791696510-0</t>
  </si>
  <si>
    <t>769501891-0</t>
  </si>
  <si>
    <t>490224381-4</t>
  </si>
  <si>
    <t>869373070-3</t>
  </si>
  <si>
    <t>197601693-2</t>
  </si>
  <si>
    <t>723644171-6</t>
  </si>
  <si>
    <t>533998112-6</t>
  </si>
  <si>
    <t>302681790-2</t>
  </si>
  <si>
    <t>327402192-X</t>
  </si>
  <si>
    <t>810221192-X</t>
  </si>
  <si>
    <t>323483871-2</t>
  </si>
  <si>
    <t>658031012-X</t>
  </si>
  <si>
    <t>953139189-0</t>
  </si>
  <si>
    <t>663736865-2</t>
  </si>
  <si>
    <t>228838965-6</t>
  </si>
  <si>
    <t>166416493-6</t>
  </si>
  <si>
    <t>104208301-0</t>
  </si>
  <si>
    <t>386514881-6</t>
  </si>
  <si>
    <t>943087085-8</t>
  </si>
  <si>
    <t>116476861-1</t>
  </si>
  <si>
    <t>233632209-9</t>
  </si>
  <si>
    <t>990325113-0</t>
  </si>
  <si>
    <t>517482959-5</t>
  </si>
  <si>
    <t>763271894-X</t>
  </si>
  <si>
    <t>960665293-9</t>
  </si>
  <si>
    <t>827394615-0</t>
  </si>
  <si>
    <t>526738707-X</t>
  </si>
  <si>
    <t>492947672-0</t>
  </si>
  <si>
    <t>995379164-3</t>
  </si>
  <si>
    <t>332665493-6</t>
  </si>
  <si>
    <t>534988156-6</t>
  </si>
  <si>
    <t>889435415-6</t>
  </si>
  <si>
    <t>042216301-5</t>
  </si>
  <si>
    <t>279916735-7</t>
  </si>
  <si>
    <t>249824260-0</t>
  </si>
  <si>
    <t>858079550-8</t>
  </si>
  <si>
    <t>742948661-4</t>
  </si>
  <si>
    <t>350260511-4</t>
  </si>
  <si>
    <t>078641738-2</t>
  </si>
  <si>
    <t>485309318-4</t>
  </si>
  <si>
    <t>817768943-6</t>
  </si>
  <si>
    <t>051338957-1</t>
  </si>
  <si>
    <t>799233967-3</t>
  </si>
  <si>
    <t>794876343-0</t>
  </si>
  <si>
    <t>846762772-7</t>
  </si>
  <si>
    <t>481783355-6</t>
  </si>
  <si>
    <t>188924097-4</t>
  </si>
  <si>
    <t>718344205-5</t>
  </si>
  <si>
    <t>549250158-5</t>
  </si>
  <si>
    <t>551673503-3</t>
  </si>
  <si>
    <t>267965663-6</t>
  </si>
  <si>
    <t>009676171-7</t>
  </si>
  <si>
    <t>528810422-0</t>
  </si>
  <si>
    <t>365877895-4</t>
  </si>
  <si>
    <t>725934501-2</t>
  </si>
  <si>
    <t>262886987-X</t>
  </si>
  <si>
    <t>485569217-4</t>
  </si>
  <si>
    <t>461903042-2</t>
  </si>
  <si>
    <t>326899723-6</t>
  </si>
  <si>
    <t>523399004-0</t>
  </si>
  <si>
    <t>821337887-3</t>
  </si>
  <si>
    <t>789398929-7</t>
  </si>
  <si>
    <t>092739694-7</t>
  </si>
  <si>
    <t>255912661-3</t>
  </si>
  <si>
    <t>865696158-6</t>
  </si>
  <si>
    <t>477595159-9</t>
  </si>
  <si>
    <t>384042761-4</t>
  </si>
  <si>
    <t>835232321-0</t>
  </si>
  <si>
    <t>562601539-6</t>
  </si>
  <si>
    <t>895589382-5</t>
  </si>
  <si>
    <t>328001636-3</t>
  </si>
  <si>
    <t>876466720-0</t>
  </si>
  <si>
    <t>824467703-1</t>
  </si>
  <si>
    <t>688776730-9</t>
  </si>
  <si>
    <t>863780086-6</t>
  </si>
  <si>
    <t>813521624-6</t>
  </si>
  <si>
    <t>437051315-4</t>
  </si>
  <si>
    <t>333976781-5</t>
  </si>
  <si>
    <t>422546089-4</t>
  </si>
  <si>
    <t>848549826-7</t>
  </si>
  <si>
    <t>576244580-1</t>
  </si>
  <si>
    <t>324051593-8</t>
  </si>
  <si>
    <t>205292131-1</t>
  </si>
  <si>
    <t>760786806-2</t>
  </si>
  <si>
    <t>562803207-7</t>
  </si>
  <si>
    <t>822854400-6</t>
  </si>
  <si>
    <t>126203139-7</t>
  </si>
  <si>
    <t>264115640-7</t>
  </si>
  <si>
    <t>808645201-8</t>
  </si>
  <si>
    <t>354121630-1</t>
  </si>
  <si>
    <t>038175596-7</t>
  </si>
  <si>
    <t>191290330-X</t>
  </si>
  <si>
    <t>155065717-8</t>
  </si>
  <si>
    <t>493850512-6</t>
  </si>
  <si>
    <t>910535918-X</t>
  </si>
  <si>
    <t>451896044-0</t>
  </si>
  <si>
    <t>906909387-1</t>
  </si>
  <si>
    <t>949368762-7</t>
  </si>
  <si>
    <t>660569273-X</t>
  </si>
  <si>
    <t>868160139-3</t>
  </si>
  <si>
    <t>270276843-1</t>
  </si>
  <si>
    <t>899272528-0</t>
  </si>
  <si>
    <t>371369286-6</t>
  </si>
  <si>
    <t>184396404-X</t>
  </si>
  <si>
    <t>740197609-9</t>
  </si>
  <si>
    <t>177330000-8</t>
  </si>
  <si>
    <t>500416614-5</t>
  </si>
  <si>
    <t>461694449-0</t>
  </si>
  <si>
    <t>950642587-6</t>
  </si>
  <si>
    <t>420535351-0</t>
  </si>
  <si>
    <t>305984185-3</t>
  </si>
  <si>
    <t>584780118-1</t>
  </si>
  <si>
    <t>702754356-7</t>
  </si>
  <si>
    <t>459395364-2</t>
  </si>
  <si>
    <t>364921818-6</t>
  </si>
  <si>
    <t>411378079-X</t>
  </si>
  <si>
    <t>458702559-3</t>
  </si>
  <si>
    <t>819269039-3</t>
  </si>
  <si>
    <t>913379091-4</t>
  </si>
  <si>
    <t>884932201-1</t>
  </si>
  <si>
    <t>372521897-8</t>
  </si>
  <si>
    <t>443322596-7</t>
  </si>
  <si>
    <t>905693618-2</t>
  </si>
  <si>
    <t>882075863-6</t>
  </si>
  <si>
    <t>737900566-9</t>
  </si>
  <si>
    <t>196240440-4</t>
  </si>
  <si>
    <t>820452085-9</t>
  </si>
  <si>
    <t>898839031-8</t>
  </si>
  <si>
    <t>130643134-4</t>
  </si>
  <si>
    <t>126532110-8</t>
  </si>
  <si>
    <t>714228436-6</t>
  </si>
  <si>
    <t>549873064-0</t>
  </si>
  <si>
    <t>632076486-4</t>
  </si>
  <si>
    <t>481071877-8</t>
  </si>
  <si>
    <t>127454140-9</t>
  </si>
  <si>
    <t>351849070-2</t>
  </si>
  <si>
    <t>718845505-8</t>
  </si>
  <si>
    <t>297653203-6</t>
  </si>
  <si>
    <t>903962548-4</t>
  </si>
  <si>
    <t>247194862-6</t>
  </si>
  <si>
    <t>330796526-3</t>
  </si>
  <si>
    <t>144494988-8</t>
  </si>
  <si>
    <t>246364556-3</t>
  </si>
  <si>
    <t>764714313-1</t>
  </si>
  <si>
    <t>547563791-1</t>
  </si>
  <si>
    <t>363132453-7</t>
  </si>
  <si>
    <t>289875828-0</t>
  </si>
  <si>
    <t>966368919-6</t>
  </si>
  <si>
    <t>756561972-8</t>
  </si>
  <si>
    <t>151966613-6</t>
  </si>
  <si>
    <t>251522596-9</t>
  </si>
  <si>
    <t>076767767-6</t>
  </si>
  <si>
    <t>579422564-5</t>
  </si>
  <si>
    <t>743526607-8</t>
  </si>
  <si>
    <t>086183519-0</t>
  </si>
  <si>
    <t>475343336-6</t>
  </si>
  <si>
    <t>035725227-6</t>
  </si>
  <si>
    <t>454391074-5</t>
  </si>
  <si>
    <t>354482181-8</t>
  </si>
  <si>
    <t>667942097-0</t>
  </si>
  <si>
    <t>643252739-2</t>
  </si>
  <si>
    <t>590536211-4</t>
  </si>
  <si>
    <t>745522685-3</t>
  </si>
  <si>
    <t>588561502-0</t>
  </si>
  <si>
    <t>604714264-8</t>
  </si>
  <si>
    <t>589570781-5</t>
  </si>
  <si>
    <t>872018468-9</t>
  </si>
  <si>
    <t>782921925-7</t>
  </si>
  <si>
    <t>817923561-0</t>
  </si>
  <si>
    <t>322038748-9</t>
  </si>
  <si>
    <t>129958015-7</t>
  </si>
  <si>
    <t>107697594-1</t>
  </si>
  <si>
    <t>157210258-6</t>
  </si>
  <si>
    <t>014324010-2</t>
  </si>
  <si>
    <t>521896557-X</t>
  </si>
  <si>
    <t>539743216-4</t>
  </si>
  <si>
    <t>879660311-9</t>
  </si>
  <si>
    <t>596662989-7</t>
  </si>
  <si>
    <t>242631610-1</t>
  </si>
  <si>
    <t>850743655-2</t>
  </si>
  <si>
    <t>057574881-8</t>
  </si>
  <si>
    <t>237386724-9</t>
  </si>
  <si>
    <t>133931476-2</t>
  </si>
  <si>
    <t>147515940-4</t>
  </si>
  <si>
    <t>731085069-6</t>
  </si>
  <si>
    <t>432950413-8</t>
  </si>
  <si>
    <t>362345526-1</t>
  </si>
  <si>
    <t>986362017-3</t>
  </si>
  <si>
    <t>628423396-5</t>
  </si>
  <si>
    <t>117231888-3</t>
  </si>
  <si>
    <t>857200680-X</t>
  </si>
  <si>
    <t>273274000-4</t>
  </si>
  <si>
    <t>334069543-1</t>
  </si>
  <si>
    <t>346847766-X</t>
  </si>
  <si>
    <t>864334878-3</t>
  </si>
  <si>
    <t>710551065-X</t>
  </si>
  <si>
    <t>713806728-3</t>
  </si>
  <si>
    <t>813733396-7</t>
  </si>
  <si>
    <t>611408138-2</t>
  </si>
  <si>
    <t>992129128-9</t>
  </si>
  <si>
    <t>683046781-0</t>
  </si>
  <si>
    <t>697168077-4</t>
  </si>
  <si>
    <t>320908343-6</t>
  </si>
  <si>
    <t>771790015-7</t>
  </si>
  <si>
    <t>187903584-7</t>
  </si>
  <si>
    <t>791172477-6</t>
  </si>
  <si>
    <t>251517227-X</t>
  </si>
  <si>
    <t>520666956-3</t>
  </si>
  <si>
    <t>097239416-8</t>
  </si>
  <si>
    <t>611510231-6</t>
  </si>
  <si>
    <t>940306021-2</t>
  </si>
  <si>
    <t>911000826-8</t>
  </si>
  <si>
    <t>610842599-7</t>
  </si>
  <si>
    <t>536132419-1</t>
  </si>
  <si>
    <t>170512262-0</t>
  </si>
  <si>
    <t>421211938-2</t>
  </si>
  <si>
    <t>036487284-5</t>
  </si>
  <si>
    <t>731099428-0</t>
  </si>
  <si>
    <t>304729546-8</t>
  </si>
  <si>
    <t>715641489-5</t>
  </si>
  <si>
    <t>324755641-9</t>
  </si>
  <si>
    <t>688870586-2</t>
  </si>
  <si>
    <t>434815135-0</t>
  </si>
  <si>
    <t>132737081-6</t>
  </si>
  <si>
    <t>442855313-7</t>
  </si>
  <si>
    <t>143692853-2</t>
  </si>
  <si>
    <t>899768716-6</t>
  </si>
  <si>
    <t>386818950-5</t>
  </si>
  <si>
    <t>460687353-1</t>
  </si>
  <si>
    <t>808486647-8</t>
  </si>
  <si>
    <t>447992007-2</t>
  </si>
  <si>
    <t>253658702-9</t>
  </si>
  <si>
    <t>346474988-6</t>
  </si>
  <si>
    <t>124391720-2</t>
  </si>
  <si>
    <t>812824075-7</t>
  </si>
  <si>
    <t>908038544-1</t>
  </si>
  <si>
    <t>123669681-6</t>
  </si>
  <si>
    <t>755415403-6</t>
  </si>
  <si>
    <t>045234831-5</t>
  </si>
  <si>
    <t>842838507-6</t>
  </si>
  <si>
    <t>240640248-7</t>
  </si>
  <si>
    <t>616313698-5</t>
  </si>
  <si>
    <t>447367268-9</t>
  </si>
  <si>
    <t>589720823-9</t>
  </si>
  <si>
    <t>264736681-0</t>
  </si>
  <si>
    <t>400529896-6</t>
  </si>
  <si>
    <t>594042165-2</t>
  </si>
  <si>
    <t>743970711-7</t>
  </si>
  <si>
    <t>357228190-3</t>
  </si>
  <si>
    <t>481447995-6</t>
  </si>
  <si>
    <t>676680406-8</t>
  </si>
  <si>
    <t>793923478-1</t>
  </si>
  <si>
    <t>299821280-8</t>
  </si>
  <si>
    <t>606655266-X</t>
  </si>
  <si>
    <t>987647569-X</t>
  </si>
  <si>
    <t>668950093-4</t>
  </si>
  <si>
    <t>062314188-4</t>
  </si>
  <si>
    <t>666361653-6</t>
  </si>
  <si>
    <t>944457899-2</t>
  </si>
  <si>
    <t>129591301-1</t>
  </si>
  <si>
    <t>037668525-5</t>
  </si>
  <si>
    <t>444676009-2</t>
  </si>
  <si>
    <t>224645836-6</t>
  </si>
  <si>
    <t>678468013-8</t>
  </si>
  <si>
    <t>059222047-8</t>
  </si>
  <si>
    <t>899797064-X</t>
  </si>
  <si>
    <t>728311661-3</t>
  </si>
  <si>
    <t>210097181-6</t>
  </si>
  <si>
    <t>286945276-4</t>
  </si>
  <si>
    <t>630760925-7</t>
  </si>
  <si>
    <t>998893253-7</t>
  </si>
  <si>
    <t>009018009-7</t>
  </si>
  <si>
    <t>056778706-0</t>
  </si>
  <si>
    <t>805292522-3</t>
  </si>
  <si>
    <t>378894329-7</t>
  </si>
  <si>
    <t>233946748-9</t>
  </si>
  <si>
    <t>837483333-5</t>
  </si>
  <si>
    <t>074797547-7</t>
  </si>
  <si>
    <t>745081714-4</t>
  </si>
  <si>
    <t>636444281-1</t>
  </si>
  <si>
    <t>608335630-X</t>
  </si>
  <si>
    <t>435479768-2</t>
  </si>
  <si>
    <t>913199128-9</t>
  </si>
  <si>
    <t>466746085-7</t>
  </si>
  <si>
    <t>871413024-6</t>
  </si>
  <si>
    <t>094329194-1</t>
  </si>
  <si>
    <t>830792043-4</t>
  </si>
  <si>
    <t>270159813-3</t>
  </si>
  <si>
    <t>657979403-8</t>
  </si>
  <si>
    <t>413675703-4</t>
  </si>
  <si>
    <t>061090036-6</t>
  </si>
  <si>
    <t>162812848-8</t>
  </si>
  <si>
    <t>830906604-X</t>
  </si>
  <si>
    <t>565944189-0</t>
  </si>
  <si>
    <t>986053113-7</t>
  </si>
  <si>
    <t>125829797-3</t>
  </si>
  <si>
    <t>663758606-4</t>
  </si>
  <si>
    <t>530894251-X</t>
  </si>
  <si>
    <t>793884886-7</t>
  </si>
  <si>
    <t>013084964-2</t>
  </si>
  <si>
    <t>189124777-8</t>
  </si>
  <si>
    <t>034012132-7</t>
  </si>
  <si>
    <t>920450287-8</t>
  </si>
  <si>
    <t>283842539-0</t>
  </si>
  <si>
    <t>475302693-0</t>
  </si>
  <si>
    <t>986623366-9</t>
  </si>
  <si>
    <t>692094646-7</t>
  </si>
  <si>
    <t>699258082-5</t>
  </si>
  <si>
    <t>410221683-9</t>
  </si>
  <si>
    <t>077237551-8</t>
  </si>
  <si>
    <t>431899370-1</t>
  </si>
  <si>
    <t>335869775-4</t>
  </si>
  <si>
    <t>567147671-2</t>
  </si>
  <si>
    <t>Item info</t>
  </si>
  <si>
    <t>Load to Company</t>
  </si>
  <si>
    <t>Company email</t>
  </si>
  <si>
    <t>Delivery tours:</t>
  </si>
  <si>
    <t>Deliver to:</t>
  </si>
  <si>
    <t>Load from:</t>
  </si>
  <si>
    <t>Load from</t>
  </si>
  <si>
    <t>Deliver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</si>
</sst>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 * #,##0.00_ ;_ * \-#,##0.00_ ;_ * &quot;-&quot;??_ ;_ @_ "/>
    <numFmt numFmtId="165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AA21B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 vertical="center" wrapText="1"/>
    </xf>
    <xf numFmtId="0" fontId="1" fillId="0" borderId="2" xfId="0" applyFont="1" applyBorder="1"/>
    <xf numFmtId="0" fontId="1" fillId="0" borderId="3" xfId="0" applyFont="1" applyBorder="1"/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20" fontId="1" fillId="0" borderId="2" xfId="0" applyNumberFormat="1" applyFont="1" applyBorder="1"/>
    <xf numFmtId="2" fontId="1" fillId="0" borderId="2" xfId="0" applyNumberFormat="1" applyFont="1" applyBorder="1"/>
    <xf numFmtId="2" fontId="1" fillId="0" borderId="3" xfId="0" applyNumberFormat="1" applyFont="1" applyBorder="1"/>
    <xf numFmtId="165" fontId="1" fillId="0" borderId="2" xfId="1" applyNumberFormat="1" applyFont="1" applyBorder="1"/>
    <xf numFmtId="165" fontId="1" fillId="0" borderId="1" xfId="0" applyNumberFormat="1" applyFont="1" applyBorder="1"/>
    <xf numFmtId="0" fontId="5" fillId="0" borderId="2" xfId="0" applyFont="1" applyBorder="1"/>
    <xf numFmtId="164" fontId="1" fillId="0" borderId="2" xfId="1" applyFont="1" applyBorder="1"/>
    <xf numFmtId="11" fontId="1" fillId="0" borderId="2" xfId="1" applyNumberFormat="1" applyFont="1" applyBorder="1"/>
    <xf numFmtId="0" fontId="1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3" borderId="0" xfId="0" applyFill="1"/>
    <xf numFmtId="0" fontId="0" fillId="4" borderId="0" xfId="0" applyFill="1"/>
    <xf numFmtId="0" fontId="7" fillId="0" borderId="0" xfId="2"/>
    <xf numFmtId="14" fontId="0" fillId="0" borderId="0" xfId="0" applyNumberFormat="1"/>
    <xf numFmtId="20" fontId="0" fillId="0" borderId="0" xfId="0" applyNumberFormat="1"/>
    <xf numFmtId="0" fontId="6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4" borderId="10" xfId="0" applyFill="1" applyBorder="1"/>
    <xf numFmtId="0" fontId="0" fillId="4" borderId="11" xfId="0" applyFill="1" applyBorder="1"/>
    <xf numFmtId="0" fontId="9" fillId="3" borderId="7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9" fillId="3" borderId="8" xfId="0" applyFont="1" applyFill="1" applyBorder="1" applyAlignment="1">
      <alignment horizontal="center"/>
    </xf>
    <xf numFmtId="0" fontId="8" fillId="4" borderId="0" xfId="0" applyFont="1" applyFill="1"/>
  </cellXfs>
  <cellStyles count="3">
    <cellStyle name="Comma" xfId="1" builtinId="3"/>
    <cellStyle name="Hyperlink" xfId="2" builtinId="8"/>
    <cellStyle name="Normal" xfId="0" builtinId="0"/>
  </cellStyles>
  <dxfs count="11">
    <dxf>
      <fill>
        <patternFill>
          <bgColor rgb="FF00B0F0"/>
        </patternFill>
      </fill>
    </dxf>
    <dxf>
      <fill>
        <patternFill>
          <bgColor rgb="FFCCCC00"/>
        </patternFill>
      </fill>
    </dxf>
    <dxf>
      <fill>
        <patternFill>
          <bgColor rgb="FF00B050"/>
        </patternFill>
      </fill>
    </dxf>
    <dxf>
      <fill>
        <patternFill>
          <bgColor rgb="FFFF00FF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</dxfs>
  <tableStyles count="1" defaultTableStyle="TableStyleMedium2" defaultPivotStyle="PivotStyleLight16">
    <tableStyle name="Invisible" pivot="0" table="0" count="0" xr9:uid="{CCEEF9AA-112D-42D3-A6DB-776F00BC6773}"/>
  </tableStyles>
  <colors>
    <mruColors>
      <color rgb="FFFAA21B"/>
      <color rgb="FFCCCC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22</xdr:row>
          <xdr:rowOff>171450</xdr:rowOff>
        </xdr:from>
        <xdr:to>
          <xdr:col>7</xdr:col>
          <xdr:colOff>542925</xdr:colOff>
          <xdr:row>25</xdr:row>
          <xdr:rowOff>66675</xdr:rowOff>
        </xdr:to>
        <xdr:sp macro="" textlink="">
          <xdr:nvSpPr>
            <xdr:cNvPr id="1025" name="BT_SetUpEmai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13</xdr:row>
          <xdr:rowOff>133350</xdr:rowOff>
        </xdr:from>
        <xdr:to>
          <xdr:col>8</xdr:col>
          <xdr:colOff>485775</xdr:colOff>
          <xdr:row>15</xdr:row>
          <xdr:rowOff>12327</xdr:rowOff>
        </xdr:to>
        <xdr:sp macro="" textlink="">
          <xdr:nvSpPr>
            <xdr:cNvPr id="1030" name="CB_da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16</xdr:row>
          <xdr:rowOff>123825</xdr:rowOff>
        </xdr:from>
        <xdr:to>
          <xdr:col>8</xdr:col>
          <xdr:colOff>476250</xdr:colOff>
          <xdr:row>18</xdr:row>
          <xdr:rowOff>47625</xdr:rowOff>
        </xdr:to>
        <xdr:sp macro="" textlink="">
          <xdr:nvSpPr>
            <xdr:cNvPr id="1032" name="CB_loadCompani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19</xdr:row>
          <xdr:rowOff>142875</xdr:rowOff>
        </xdr:from>
        <xdr:to>
          <xdr:col>8</xdr:col>
          <xdr:colOff>466725</xdr:colOff>
          <xdr:row>21</xdr:row>
          <xdr:rowOff>66675</xdr:rowOff>
        </xdr:to>
        <xdr:sp macro="" textlink="">
          <xdr:nvSpPr>
            <xdr:cNvPr id="1033" name="CB_deliverCompani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523875</xdr:colOff>
      <xdr:row>0</xdr:row>
      <xdr:rowOff>180975</xdr:rowOff>
    </xdr:from>
    <xdr:to>
      <xdr:col>16</xdr:col>
      <xdr:colOff>142875</xdr:colOff>
      <xdr:row>9</xdr:row>
      <xdr:rowOff>62221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450" y="180975"/>
          <a:ext cx="5715000" cy="15957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B835C-492E-43DC-9D3A-0A0C3D7B644E}">
  <sheetPr codeName="Sheet3"/>
  <dimension ref="C11:T32"/>
  <sheetViews>
    <sheetView tabSelected="1" zoomScale="85" zoomScaleNormal="85" workbookViewId="0">
      <selection activeCell="D28" sqref="D28"/>
    </sheetView>
  </sheetViews>
  <sheetFormatPr defaultRowHeight="15" x14ac:dyDescent="0.25"/>
  <cols>
    <col min="1" max="3" width="9.140625" style="18"/>
    <col min="4" max="4" width="11.85546875" style="18" customWidth="1"/>
    <col min="5" max="19" width="9.140625" style="18"/>
    <col min="20" max="20" width="11.85546875" style="18" customWidth="1"/>
    <col min="21" max="16384" width="9.140625" style="18"/>
  </cols>
  <sheetData>
    <row r="11" spans="3:20" ht="15.75" thickBot="1" x14ac:dyDescent="0.3"/>
    <row r="12" spans="3:20" ht="23.25" x14ac:dyDescent="0.25">
      <c r="E12" s="23" t="s">
        <v>2</v>
      </c>
      <c r="F12" s="24"/>
      <c r="G12" s="24"/>
      <c r="H12" s="24"/>
      <c r="I12" s="24"/>
      <c r="J12" s="24"/>
      <c r="M12" s="25" t="s">
        <v>1879</v>
      </c>
      <c r="N12" s="26"/>
      <c r="O12" s="26"/>
      <c r="P12" s="26"/>
      <c r="Q12" s="26"/>
      <c r="R12" s="26"/>
      <c r="S12" s="26"/>
      <c r="T12" s="27"/>
    </row>
    <row r="13" spans="3:20" x14ac:dyDescent="0.25">
      <c r="M13" s="28"/>
      <c r="N13" s="29"/>
      <c r="O13" s="29"/>
      <c r="P13" s="29"/>
      <c r="Q13" s="29"/>
      <c r="R13" s="29"/>
      <c r="S13" s="29"/>
      <c r="T13" s="30"/>
    </row>
    <row r="14" spans="3:20" ht="18.75" x14ac:dyDescent="0.3">
      <c r="M14" s="38" t="s">
        <v>1881</v>
      </c>
      <c r="N14" s="39"/>
      <c r="O14" s="39"/>
      <c r="P14" s="39"/>
      <c r="Q14" s="39" t="s">
        <v>1880</v>
      </c>
      <c r="R14" s="39"/>
      <c r="S14" s="39"/>
      <c r="T14" s="40"/>
    </row>
    <row r="15" spans="3:20" x14ac:dyDescent="0.25">
      <c r="C15" s="41" t="s">
        <v>3</v>
      </c>
      <c r="D15" s="19"/>
      <c r="M15" s="28"/>
      <c r="N15" s="29"/>
      <c r="O15" s="29"/>
      <c r="P15" s="29"/>
      <c r="Q15" s="29"/>
      <c r="R15" s="29"/>
      <c r="S15" s="29"/>
      <c r="T15" s="30"/>
    </row>
    <row r="16" spans="3:20" x14ac:dyDescent="0.25">
      <c r="M16" s="31" t="s">
        <v>6</v>
      </c>
      <c r="N16" s="32"/>
      <c r="O16" s="32"/>
      <c r="P16" s="32"/>
      <c r="Q16" s="29"/>
      <c r="R16" s="32" t="s">
        <v>11</v>
      </c>
      <c r="S16" s="32"/>
      <c r="T16" s="33"/>
    </row>
    <row r="17" spans="3:20" x14ac:dyDescent="0.25">
      <c r="M17" s="28"/>
      <c r="N17" s="29"/>
      <c r="O17" s="29"/>
      <c r="P17" s="29"/>
      <c r="Q17" s="29"/>
      <c r="R17" s="32" t="s">
        <v>12</v>
      </c>
      <c r="S17" s="32"/>
      <c r="T17" s="33"/>
    </row>
    <row r="18" spans="3:20" x14ac:dyDescent="0.25">
      <c r="C18" s="41" t="s">
        <v>1882</v>
      </c>
      <c r="D18" s="19"/>
      <c r="M18" s="28"/>
      <c r="N18" s="29"/>
      <c r="O18" s="29"/>
      <c r="P18" s="29"/>
      <c r="Q18" s="29"/>
      <c r="R18" s="32" t="s">
        <v>13</v>
      </c>
      <c r="S18" s="32"/>
      <c r="T18" s="33"/>
    </row>
    <row r="19" spans="3:20" x14ac:dyDescent="0.25">
      <c r="M19" s="28"/>
      <c r="N19" s="29"/>
      <c r="O19" s="29"/>
      <c r="P19" s="29"/>
      <c r="Q19" s="29"/>
      <c r="R19" s="29"/>
      <c r="S19" s="29"/>
      <c r="T19" s="30"/>
    </row>
    <row r="20" spans="3:20" x14ac:dyDescent="0.25">
      <c r="M20" s="28"/>
      <c r="N20" s="29"/>
      <c r="O20" s="29"/>
      <c r="P20" s="29"/>
      <c r="Q20" s="29"/>
      <c r="R20" s="29"/>
      <c r="S20" s="29"/>
      <c r="T20" s="30"/>
    </row>
    <row r="21" spans="3:20" x14ac:dyDescent="0.25">
      <c r="C21" s="41" t="s">
        <v>1883</v>
      </c>
      <c r="D21" s="19"/>
      <c r="M21" s="28"/>
      <c r="N21" s="29"/>
      <c r="O21" s="29"/>
      <c r="P21" s="29"/>
      <c r="Q21" s="29"/>
      <c r="R21" s="29"/>
      <c r="S21" s="29"/>
      <c r="T21" s="30"/>
    </row>
    <row r="22" spans="3:20" x14ac:dyDescent="0.25">
      <c r="M22" s="31" t="s">
        <v>7</v>
      </c>
      <c r="N22" s="32"/>
      <c r="O22" s="32"/>
      <c r="P22" s="32"/>
      <c r="Q22" s="29"/>
      <c r="R22" s="32" t="s">
        <v>14</v>
      </c>
      <c r="S22" s="32"/>
      <c r="T22" s="33"/>
    </row>
    <row r="23" spans="3:20" x14ac:dyDescent="0.25">
      <c r="M23" s="28"/>
      <c r="N23" s="29"/>
      <c r="O23" s="29"/>
      <c r="P23" s="29"/>
      <c r="Q23" s="29"/>
      <c r="R23" s="32" t="s">
        <v>15</v>
      </c>
      <c r="S23" s="32"/>
      <c r="T23" s="33"/>
    </row>
    <row r="24" spans="3:20" x14ac:dyDescent="0.25">
      <c r="M24" s="28"/>
      <c r="N24" s="29"/>
      <c r="O24" s="29"/>
      <c r="P24" s="29"/>
      <c r="Q24" s="29"/>
      <c r="R24" s="32" t="s">
        <v>16</v>
      </c>
      <c r="S24" s="32"/>
      <c r="T24" s="33"/>
    </row>
    <row r="25" spans="3:20" x14ac:dyDescent="0.25">
      <c r="M25" s="28"/>
      <c r="N25" s="29"/>
      <c r="O25" s="29"/>
      <c r="P25" s="29"/>
      <c r="Q25" s="29"/>
      <c r="R25" s="29"/>
      <c r="S25" s="29"/>
      <c r="T25" s="30"/>
    </row>
    <row r="26" spans="3:20" x14ac:dyDescent="0.25">
      <c r="M26" s="28"/>
      <c r="N26" s="29"/>
      <c r="O26" s="29"/>
      <c r="P26" s="29"/>
      <c r="Q26" s="29"/>
      <c r="R26" s="29"/>
      <c r="S26" s="29"/>
      <c r="T26" s="30"/>
    </row>
    <row r="27" spans="3:20" x14ac:dyDescent="0.25">
      <c r="M27" s="28"/>
      <c r="N27" s="29"/>
      <c r="O27" s="29"/>
      <c r="P27" s="29"/>
      <c r="Q27" s="29"/>
      <c r="R27" s="29"/>
      <c r="S27" s="29"/>
      <c r="T27" s="30"/>
    </row>
    <row r="28" spans="3:20" x14ac:dyDescent="0.25">
      <c r="M28" s="31" t="s">
        <v>5</v>
      </c>
      <c r="N28" s="32"/>
      <c r="O28" s="32"/>
      <c r="P28" s="32"/>
      <c r="Q28" s="29"/>
      <c r="R28" s="32" t="s">
        <v>17</v>
      </c>
      <c r="S28" s="32"/>
      <c r="T28" s="33"/>
    </row>
    <row r="29" spans="3:20" x14ac:dyDescent="0.25">
      <c r="M29" s="28"/>
      <c r="N29" s="29"/>
      <c r="O29" s="29"/>
      <c r="P29" s="29"/>
      <c r="Q29" s="29"/>
      <c r="R29" s="32" t="s">
        <v>18</v>
      </c>
      <c r="S29" s="32"/>
      <c r="T29" s="33"/>
    </row>
    <row r="30" spans="3:20" x14ac:dyDescent="0.25">
      <c r="M30" s="28"/>
      <c r="N30" s="29"/>
      <c r="O30" s="29"/>
      <c r="P30" s="29"/>
      <c r="Q30" s="29"/>
      <c r="R30" s="32" t="s">
        <v>19</v>
      </c>
      <c r="S30" s="32"/>
      <c r="T30" s="33"/>
    </row>
    <row r="31" spans="3:20" x14ac:dyDescent="0.25">
      <c r="M31" s="28"/>
      <c r="N31" s="29"/>
      <c r="O31" s="29"/>
      <c r="P31" s="29"/>
      <c r="Q31" s="29"/>
      <c r="R31" s="32" t="s">
        <v>20</v>
      </c>
      <c r="S31" s="32"/>
      <c r="T31" s="33"/>
    </row>
    <row r="32" spans="3:20" ht="15.75" thickBot="1" x14ac:dyDescent="0.3">
      <c r="M32" s="34"/>
      <c r="N32" s="35"/>
      <c r="O32" s="35"/>
      <c r="P32" s="35"/>
      <c r="Q32" s="35"/>
      <c r="R32" s="36" t="s">
        <v>21</v>
      </c>
      <c r="S32" s="36"/>
      <c r="T32" s="37"/>
    </row>
  </sheetData>
  <mergeCells count="4">
    <mergeCell ref="E12:J12"/>
    <mergeCell ref="M12:T12"/>
    <mergeCell ref="M14:P14"/>
    <mergeCell ref="Q14:T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_SetUpEmail">
          <controlPr defaultSize="0" autoFill="0" autoLine="0" r:id="rId4">
            <anchor moveWithCells="1">
              <from>
                <xdr:col>5</xdr:col>
                <xdr:colOff>314325</xdr:colOff>
                <xdr:row>22</xdr:row>
                <xdr:rowOff>171450</xdr:rowOff>
              </from>
              <to>
                <xdr:col>7</xdr:col>
                <xdr:colOff>542925</xdr:colOff>
                <xdr:row>25</xdr:row>
                <xdr:rowOff>66675</xdr:rowOff>
              </to>
            </anchor>
          </controlPr>
        </control>
      </mc:Choice>
      <mc:Fallback>
        <control shapeId="1025" r:id="rId3" name="BT_SetUpEmail"/>
      </mc:Fallback>
    </mc:AlternateContent>
    <mc:AlternateContent xmlns:mc="http://schemas.openxmlformats.org/markup-compatibility/2006">
      <mc:Choice Requires="x14">
        <control shapeId="1030" r:id="rId5" name="CB_date">
          <controlPr defaultSize="0" autoLine="0" r:id="rId6">
            <anchor moveWithCells="1">
              <from>
                <xdr:col>4</xdr:col>
                <xdr:colOff>514350</xdr:colOff>
                <xdr:row>13</xdr:row>
                <xdr:rowOff>133350</xdr:rowOff>
              </from>
              <to>
                <xdr:col>8</xdr:col>
                <xdr:colOff>485775</xdr:colOff>
                <xdr:row>15</xdr:row>
                <xdr:rowOff>9525</xdr:rowOff>
              </to>
            </anchor>
          </controlPr>
        </control>
      </mc:Choice>
      <mc:Fallback>
        <control shapeId="1030" r:id="rId5" name="CB_date"/>
      </mc:Fallback>
    </mc:AlternateContent>
    <mc:AlternateContent xmlns:mc="http://schemas.openxmlformats.org/markup-compatibility/2006">
      <mc:Choice Requires="x14">
        <control shapeId="1032" r:id="rId7" name="CB_loadCompanies">
          <controlPr defaultSize="0" autoLine="0" autoPict="0" r:id="rId6">
            <anchor moveWithCells="1">
              <from>
                <xdr:col>4</xdr:col>
                <xdr:colOff>504825</xdr:colOff>
                <xdr:row>16</xdr:row>
                <xdr:rowOff>123825</xdr:rowOff>
              </from>
              <to>
                <xdr:col>8</xdr:col>
                <xdr:colOff>485775</xdr:colOff>
                <xdr:row>18</xdr:row>
                <xdr:rowOff>47625</xdr:rowOff>
              </to>
            </anchor>
          </controlPr>
        </control>
      </mc:Choice>
      <mc:Fallback>
        <control shapeId="1032" r:id="rId7" name="CB_loadCompanies"/>
      </mc:Fallback>
    </mc:AlternateContent>
    <mc:AlternateContent xmlns:mc="http://schemas.openxmlformats.org/markup-compatibility/2006">
      <mc:Choice Requires="x14">
        <control shapeId="1033" r:id="rId8" name="CB_deliverCompanies">
          <controlPr defaultSize="0" autoLine="0" r:id="rId6">
            <anchor moveWithCells="1">
              <from>
                <xdr:col>4</xdr:col>
                <xdr:colOff>495300</xdr:colOff>
                <xdr:row>19</xdr:row>
                <xdr:rowOff>142875</xdr:rowOff>
              </from>
              <to>
                <xdr:col>8</xdr:col>
                <xdr:colOff>466725</xdr:colOff>
                <xdr:row>21</xdr:row>
                <xdr:rowOff>66675</xdr:rowOff>
              </to>
            </anchor>
          </controlPr>
        </control>
      </mc:Choice>
      <mc:Fallback>
        <control shapeId="1033" r:id="rId8" name="CB_deliverCompani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1001"/>
  <sheetViews>
    <sheetView zoomScaleNormal="100" workbookViewId="0">
      <pane ySplit="1" topLeftCell="A2" activePane="bottomLeft" state="frozen"/>
      <selection pane="bottomLeft" activeCell="B10" sqref="B10"/>
    </sheetView>
  </sheetViews>
  <sheetFormatPr defaultColWidth="11.42578125" defaultRowHeight="12.75" x14ac:dyDescent="0.2"/>
  <cols>
    <col min="1" max="1" width="5.140625" style="1" bestFit="1" customWidth="1"/>
    <col min="2" max="2" width="11.42578125" style="1"/>
    <col min="3" max="3" width="7.28515625" style="1" bestFit="1" customWidth="1"/>
    <col min="4" max="4" width="10.5703125" style="1" bestFit="1" customWidth="1"/>
    <col min="5" max="5" width="28" style="1" bestFit="1" customWidth="1"/>
    <col min="6" max="6" width="28.42578125" style="1" bestFit="1" customWidth="1"/>
    <col min="7" max="7" width="14.5703125" style="1" bestFit="1" customWidth="1"/>
    <col min="8" max="9" width="11.140625" style="1" customWidth="1"/>
    <col min="10" max="10" width="10.7109375" style="1" customWidth="1"/>
    <col min="11" max="11" width="12.5703125" style="1" customWidth="1"/>
    <col min="12" max="12" width="7.140625" style="1" customWidth="1"/>
    <col min="13" max="13" width="11.42578125" style="1"/>
    <col min="14" max="14" width="12.140625" style="1" bestFit="1" customWidth="1"/>
    <col min="15" max="15" width="8.140625" style="1" bestFit="1" customWidth="1"/>
    <col min="16" max="16" width="34.42578125" style="1" bestFit="1" customWidth="1"/>
    <col min="17" max="17" width="8.28515625" style="1" customWidth="1"/>
    <col min="18" max="16384" width="11.42578125" style="1"/>
  </cols>
  <sheetData>
    <row r="1" spans="1:17" s="3" customFormat="1" ht="60" customHeight="1" x14ac:dyDescent="0.25">
      <c r="B1" s="16" t="s">
        <v>0</v>
      </c>
      <c r="C1" s="6" t="s">
        <v>33</v>
      </c>
      <c r="D1" s="7" t="s">
        <v>34</v>
      </c>
      <c r="E1" s="16" t="s">
        <v>35</v>
      </c>
      <c r="F1" s="16" t="s">
        <v>4</v>
      </c>
      <c r="G1" s="7" t="s">
        <v>36</v>
      </c>
      <c r="H1" s="7" t="s">
        <v>37</v>
      </c>
      <c r="I1" s="7" t="s">
        <v>1</v>
      </c>
      <c r="J1" s="17" t="s">
        <v>38</v>
      </c>
      <c r="K1" s="17" t="s">
        <v>39</v>
      </c>
      <c r="L1" s="7" t="s">
        <v>40</v>
      </c>
      <c r="M1" s="7" t="s">
        <v>41</v>
      </c>
      <c r="N1" s="17" t="s">
        <v>42</v>
      </c>
      <c r="O1" s="7" t="s">
        <v>1876</v>
      </c>
      <c r="P1" s="17" t="s">
        <v>43</v>
      </c>
      <c r="Q1" s="17" t="s">
        <v>44</v>
      </c>
    </row>
    <row r="2" spans="1:17" ht="14.25" customHeight="1" x14ac:dyDescent="0.25">
      <c r="A2" s="4"/>
      <c r="B2" s="21">
        <v>44197</v>
      </c>
      <c r="C2" s="5">
        <f>WEEKNUM(B2)</f>
        <v>1</v>
      </c>
      <c r="D2" s="5">
        <f>WEEKDAY(B2)</f>
        <v>6</v>
      </c>
      <c r="E2" s="1" t="s">
        <v>6</v>
      </c>
      <c r="F2" s="1" t="s">
        <v>11</v>
      </c>
      <c r="G2">
        <v>47101</v>
      </c>
      <c r="H2">
        <v>100000</v>
      </c>
      <c r="I2" s="5"/>
      <c r="J2" s="22">
        <v>0.37916666666666665</v>
      </c>
      <c r="K2" s="22">
        <v>0.1361111111111111</v>
      </c>
      <c r="L2" s="10"/>
      <c r="M2" s="5"/>
      <c r="N2" t="s">
        <v>876</v>
      </c>
      <c r="O2" s="5"/>
      <c r="P2" t="s">
        <v>45</v>
      </c>
      <c r="Q2">
        <v>12</v>
      </c>
    </row>
    <row r="3" spans="1:17" ht="14.25" customHeight="1" x14ac:dyDescent="0.25">
      <c r="A3" s="4"/>
      <c r="B3" s="21">
        <v>44197</v>
      </c>
      <c r="C3" s="5">
        <f t="shared" ref="C3:C66" si="0">WEEKNUM(B3)</f>
        <v>1</v>
      </c>
      <c r="D3" s="5">
        <f t="shared" ref="D3:D66" si="1">WEEKDAY(B3)</f>
        <v>6</v>
      </c>
      <c r="E3" s="1" t="s">
        <v>7</v>
      </c>
      <c r="F3" s="1" t="s">
        <v>16</v>
      </c>
      <c r="G3">
        <v>47103</v>
      </c>
      <c r="H3">
        <v>100000</v>
      </c>
      <c r="I3" s="4"/>
      <c r="J3" s="22">
        <v>0.32291666666666669</v>
      </c>
      <c r="K3" s="22">
        <v>0.4597222222222222</v>
      </c>
      <c r="L3" s="9"/>
      <c r="M3" s="4"/>
      <c r="N3" t="s">
        <v>877</v>
      </c>
      <c r="O3" s="4"/>
      <c r="P3" t="s">
        <v>46</v>
      </c>
      <c r="Q3">
        <v>11</v>
      </c>
    </row>
    <row r="4" spans="1:17" ht="14.25" customHeight="1" x14ac:dyDescent="0.25">
      <c r="A4" s="4"/>
      <c r="B4" s="21">
        <v>44197</v>
      </c>
      <c r="C4" s="5">
        <f t="shared" si="0"/>
        <v>1</v>
      </c>
      <c r="D4" s="5">
        <f t="shared" si="1"/>
        <v>6</v>
      </c>
      <c r="E4" s="1" t="s">
        <v>5</v>
      </c>
      <c r="F4" s="1" t="s">
        <v>17</v>
      </c>
      <c r="G4">
        <v>47105</v>
      </c>
      <c r="H4">
        <v>100000</v>
      </c>
      <c r="I4" s="4"/>
      <c r="J4" s="22">
        <v>0.36180555555555555</v>
      </c>
      <c r="K4" s="22">
        <v>0.20833333333333334</v>
      </c>
      <c r="L4" s="9"/>
      <c r="M4" s="4"/>
      <c r="N4" t="s">
        <v>878</v>
      </c>
      <c r="O4" s="4"/>
      <c r="P4" t="s">
        <v>47</v>
      </c>
      <c r="Q4">
        <v>26</v>
      </c>
    </row>
    <row r="5" spans="1:17" ht="14.25" customHeight="1" x14ac:dyDescent="0.25">
      <c r="A5" s="4"/>
      <c r="B5" s="21">
        <v>44197</v>
      </c>
      <c r="C5" s="5">
        <f t="shared" si="0"/>
        <v>1</v>
      </c>
      <c r="D5" s="5">
        <f t="shared" si="1"/>
        <v>6</v>
      </c>
      <c r="E5" s="1" t="s">
        <v>5</v>
      </c>
      <c r="F5" s="1" t="s">
        <v>20</v>
      </c>
      <c r="G5">
        <v>47105</v>
      </c>
      <c r="H5">
        <v>100000</v>
      </c>
      <c r="I5" s="4"/>
      <c r="J5" s="22">
        <v>0.26805555555555555</v>
      </c>
      <c r="K5" s="22">
        <v>0.24722222222222223</v>
      </c>
      <c r="L5" s="9"/>
      <c r="M5" s="4"/>
      <c r="N5" t="s">
        <v>879</v>
      </c>
      <c r="O5" s="4"/>
      <c r="P5" t="s">
        <v>48</v>
      </c>
      <c r="Q5">
        <v>33</v>
      </c>
    </row>
    <row r="6" spans="1:17" ht="14.25" customHeight="1" x14ac:dyDescent="0.25">
      <c r="A6" s="4"/>
      <c r="B6" s="21">
        <v>44197</v>
      </c>
      <c r="C6" s="5">
        <f t="shared" si="0"/>
        <v>1</v>
      </c>
      <c r="D6" s="5">
        <f t="shared" si="1"/>
        <v>6</v>
      </c>
      <c r="E6" s="1" t="s">
        <v>7</v>
      </c>
      <c r="F6" s="1" t="s">
        <v>15</v>
      </c>
      <c r="G6">
        <v>47107</v>
      </c>
      <c r="H6">
        <v>100001</v>
      </c>
      <c r="I6" s="4"/>
      <c r="J6" s="22">
        <v>0.30069444444444443</v>
      </c>
      <c r="K6" s="22">
        <v>0.21527777777777779</v>
      </c>
      <c r="L6" s="12"/>
      <c r="M6" s="4"/>
      <c r="N6" t="s">
        <v>880</v>
      </c>
      <c r="O6" s="4"/>
      <c r="P6" t="s">
        <v>49</v>
      </c>
      <c r="Q6">
        <v>3</v>
      </c>
    </row>
    <row r="7" spans="1:17" ht="14.25" customHeight="1" x14ac:dyDescent="0.25">
      <c r="A7" s="4"/>
      <c r="B7" s="21">
        <v>44197</v>
      </c>
      <c r="C7" s="5">
        <f t="shared" si="0"/>
        <v>1</v>
      </c>
      <c r="D7" s="5">
        <f t="shared" si="1"/>
        <v>6</v>
      </c>
      <c r="E7" s="1" t="s">
        <v>6</v>
      </c>
      <c r="F7" s="1" t="s">
        <v>11</v>
      </c>
      <c r="G7">
        <v>47108</v>
      </c>
      <c r="H7">
        <v>100003</v>
      </c>
      <c r="I7" s="4"/>
      <c r="J7" s="22">
        <v>0.3756944444444445</v>
      </c>
      <c r="K7" s="22">
        <v>2.2222222222222223E-2</v>
      </c>
      <c r="L7" s="11"/>
      <c r="M7" s="4"/>
      <c r="N7" t="s">
        <v>881</v>
      </c>
      <c r="O7" s="4"/>
      <c r="P7" t="s">
        <v>50</v>
      </c>
      <c r="Q7">
        <v>20</v>
      </c>
    </row>
    <row r="8" spans="1:17" ht="14.25" customHeight="1" x14ac:dyDescent="0.25">
      <c r="A8" s="4"/>
      <c r="B8" s="21">
        <v>44197</v>
      </c>
      <c r="C8" s="5">
        <f t="shared" si="0"/>
        <v>1</v>
      </c>
      <c r="D8" s="5">
        <f t="shared" si="1"/>
        <v>6</v>
      </c>
      <c r="E8" s="1" t="s">
        <v>6</v>
      </c>
      <c r="F8" s="1" t="s">
        <v>12</v>
      </c>
      <c r="G8">
        <v>47109</v>
      </c>
      <c r="H8">
        <v>100006</v>
      </c>
      <c r="I8" s="4"/>
      <c r="J8" s="22">
        <v>0.46111111111111108</v>
      </c>
      <c r="K8" s="22">
        <v>0.62638888888888888</v>
      </c>
      <c r="L8" s="4"/>
      <c r="M8" s="4"/>
      <c r="N8" t="s">
        <v>882</v>
      </c>
      <c r="O8" s="4"/>
      <c r="P8" t="s">
        <v>51</v>
      </c>
      <c r="Q8">
        <v>24</v>
      </c>
    </row>
    <row r="9" spans="1:17" ht="14.25" customHeight="1" x14ac:dyDescent="0.25">
      <c r="A9" s="4"/>
      <c r="B9" s="21">
        <v>44197</v>
      </c>
      <c r="C9" s="5">
        <f t="shared" si="0"/>
        <v>1</v>
      </c>
      <c r="D9" s="5">
        <f t="shared" si="1"/>
        <v>6</v>
      </c>
      <c r="E9" s="1" t="s">
        <v>7</v>
      </c>
      <c r="F9" s="1" t="s">
        <v>15</v>
      </c>
      <c r="G9">
        <v>47109</v>
      </c>
      <c r="H9">
        <v>100006</v>
      </c>
      <c r="I9" s="4"/>
      <c r="J9" s="22">
        <v>0.25277777777777777</v>
      </c>
      <c r="K9" s="22">
        <v>0.3833333333333333</v>
      </c>
      <c r="L9" s="4"/>
      <c r="M9" s="4"/>
      <c r="N9" t="s">
        <v>883</v>
      </c>
      <c r="O9" s="4"/>
      <c r="P9" t="s">
        <v>52</v>
      </c>
      <c r="Q9">
        <v>31</v>
      </c>
    </row>
    <row r="10" spans="1:17" ht="14.25" customHeight="1" x14ac:dyDescent="0.25">
      <c r="A10" s="4"/>
      <c r="B10" s="21">
        <v>44197</v>
      </c>
      <c r="C10" s="5">
        <f t="shared" si="0"/>
        <v>1</v>
      </c>
      <c r="D10" s="5">
        <f t="shared" si="1"/>
        <v>6</v>
      </c>
      <c r="E10" s="1" t="s">
        <v>7</v>
      </c>
      <c r="F10" s="1" t="s">
        <v>15</v>
      </c>
      <c r="G10">
        <v>47109</v>
      </c>
      <c r="H10">
        <v>100008</v>
      </c>
      <c r="I10" s="4"/>
      <c r="J10" s="22">
        <v>0.39861111111111108</v>
      </c>
      <c r="K10" s="22">
        <v>0.97569444444444453</v>
      </c>
      <c r="L10" s="4"/>
      <c r="M10" s="4"/>
      <c r="N10" t="s">
        <v>884</v>
      </c>
      <c r="O10" s="4"/>
      <c r="P10" t="s">
        <v>53</v>
      </c>
      <c r="Q10">
        <v>11</v>
      </c>
    </row>
    <row r="11" spans="1:17" ht="14.25" customHeight="1" x14ac:dyDescent="0.25">
      <c r="A11" s="4"/>
      <c r="B11" s="21">
        <v>44197</v>
      </c>
      <c r="C11" s="5">
        <f t="shared" si="0"/>
        <v>1</v>
      </c>
      <c r="D11" s="5">
        <f t="shared" si="1"/>
        <v>6</v>
      </c>
      <c r="E11" s="1" t="s">
        <v>6</v>
      </c>
      <c r="F11" s="1" t="s">
        <v>13</v>
      </c>
      <c r="G11">
        <v>47110</v>
      </c>
      <c r="H11">
        <v>100008</v>
      </c>
      <c r="I11" s="4"/>
      <c r="J11" s="22">
        <v>0.27569444444444446</v>
      </c>
      <c r="K11" s="22">
        <v>0.17291666666666669</v>
      </c>
      <c r="L11" s="4"/>
      <c r="M11" s="4"/>
      <c r="N11" t="s">
        <v>885</v>
      </c>
      <c r="O11" s="4"/>
      <c r="P11" t="s">
        <v>54</v>
      </c>
      <c r="Q11">
        <v>22</v>
      </c>
    </row>
    <row r="12" spans="1:17" ht="14.25" customHeight="1" x14ac:dyDescent="0.25">
      <c r="A12" s="4"/>
      <c r="B12" s="21">
        <v>44197</v>
      </c>
      <c r="C12" s="5">
        <f t="shared" si="0"/>
        <v>1</v>
      </c>
      <c r="D12" s="5">
        <f t="shared" si="1"/>
        <v>6</v>
      </c>
      <c r="E12" s="1" t="s">
        <v>7</v>
      </c>
      <c r="F12" s="1" t="s">
        <v>16</v>
      </c>
      <c r="G12">
        <v>47112</v>
      </c>
      <c r="H12">
        <v>100010</v>
      </c>
      <c r="I12" s="4"/>
      <c r="J12" s="22">
        <v>0.27916666666666667</v>
      </c>
      <c r="K12" s="22">
        <v>0.99722222222222223</v>
      </c>
      <c r="L12" s="4"/>
      <c r="M12" s="4"/>
      <c r="N12" t="s">
        <v>886</v>
      </c>
      <c r="O12" s="4"/>
      <c r="P12" t="s">
        <v>55</v>
      </c>
      <c r="Q12">
        <v>28</v>
      </c>
    </row>
    <row r="13" spans="1:17" ht="14.25" customHeight="1" x14ac:dyDescent="0.25">
      <c r="A13" s="4"/>
      <c r="B13" s="21">
        <v>44197</v>
      </c>
      <c r="C13" s="5">
        <f t="shared" si="0"/>
        <v>1</v>
      </c>
      <c r="D13" s="5">
        <f t="shared" si="1"/>
        <v>6</v>
      </c>
      <c r="E13" s="1" t="s">
        <v>7</v>
      </c>
      <c r="F13" s="1" t="s">
        <v>14</v>
      </c>
      <c r="G13">
        <v>47113</v>
      </c>
      <c r="H13">
        <v>100012</v>
      </c>
      <c r="I13" s="4"/>
      <c r="J13" s="22">
        <v>0.49583333333333335</v>
      </c>
      <c r="K13" s="22">
        <v>0.96527777777777779</v>
      </c>
      <c r="L13" s="4"/>
      <c r="M13" s="4"/>
      <c r="N13" t="s">
        <v>887</v>
      </c>
      <c r="O13" s="4"/>
      <c r="P13" t="s">
        <v>56</v>
      </c>
      <c r="Q13">
        <v>31</v>
      </c>
    </row>
    <row r="14" spans="1:17" ht="14.25" customHeight="1" x14ac:dyDescent="0.25">
      <c r="A14" s="4"/>
      <c r="B14" s="21">
        <v>44197</v>
      </c>
      <c r="C14" s="5">
        <f t="shared" si="0"/>
        <v>1</v>
      </c>
      <c r="D14" s="5">
        <f t="shared" si="1"/>
        <v>6</v>
      </c>
      <c r="E14" s="1" t="s">
        <v>5</v>
      </c>
      <c r="F14" s="1" t="s">
        <v>17</v>
      </c>
      <c r="G14">
        <v>47115</v>
      </c>
      <c r="H14">
        <v>100013</v>
      </c>
      <c r="I14" s="4"/>
      <c r="J14" s="22">
        <v>0.43194444444444446</v>
      </c>
      <c r="K14" s="22">
        <v>0.38611111111111113</v>
      </c>
      <c r="L14" s="4"/>
      <c r="M14" s="4"/>
      <c r="N14" t="s">
        <v>888</v>
      </c>
      <c r="O14" s="4"/>
      <c r="P14" t="s">
        <v>57</v>
      </c>
      <c r="Q14">
        <v>2</v>
      </c>
    </row>
    <row r="15" spans="1:17" ht="14.25" customHeight="1" x14ac:dyDescent="0.25">
      <c r="A15" s="4"/>
      <c r="B15" s="21">
        <v>44197</v>
      </c>
      <c r="C15" s="5">
        <f t="shared" si="0"/>
        <v>1</v>
      </c>
      <c r="D15" s="5">
        <f t="shared" si="1"/>
        <v>6</v>
      </c>
      <c r="E15" s="1" t="s">
        <v>6</v>
      </c>
      <c r="F15" s="1" t="s">
        <v>11</v>
      </c>
      <c r="G15">
        <v>47116</v>
      </c>
      <c r="H15">
        <v>100015</v>
      </c>
      <c r="I15" s="8"/>
      <c r="J15" s="22">
        <v>0.48958333333333331</v>
      </c>
      <c r="K15" s="22">
        <v>0.48958333333333331</v>
      </c>
      <c r="L15" s="4"/>
      <c r="M15" s="4"/>
      <c r="N15" t="s">
        <v>889</v>
      </c>
      <c r="O15" s="4"/>
      <c r="P15" t="s">
        <v>58</v>
      </c>
      <c r="Q15">
        <v>13</v>
      </c>
    </row>
    <row r="16" spans="1:17" ht="14.25" customHeight="1" x14ac:dyDescent="0.25">
      <c r="A16" s="4"/>
      <c r="B16" s="21">
        <v>44197</v>
      </c>
      <c r="C16" s="5">
        <f t="shared" si="0"/>
        <v>1</v>
      </c>
      <c r="D16" s="5">
        <f t="shared" si="1"/>
        <v>6</v>
      </c>
      <c r="E16" s="1" t="s">
        <v>5</v>
      </c>
      <c r="F16" s="1" t="s">
        <v>18</v>
      </c>
      <c r="G16">
        <v>47116</v>
      </c>
      <c r="H16">
        <v>100016</v>
      </c>
      <c r="I16" s="8"/>
      <c r="J16" s="22">
        <v>0.36249999999999999</v>
      </c>
      <c r="K16" s="22">
        <v>0.98402777777777783</v>
      </c>
      <c r="L16" s="4"/>
      <c r="M16" s="4"/>
      <c r="N16" t="s">
        <v>890</v>
      </c>
      <c r="O16" s="4"/>
      <c r="P16" t="s">
        <v>59</v>
      </c>
      <c r="Q16">
        <v>17</v>
      </c>
    </row>
    <row r="17" spans="1:17" ht="14.25" customHeight="1" x14ac:dyDescent="0.25">
      <c r="A17" s="4"/>
      <c r="B17" s="21">
        <v>44197</v>
      </c>
      <c r="C17" s="5">
        <f t="shared" si="0"/>
        <v>1</v>
      </c>
      <c r="D17" s="5">
        <f t="shared" si="1"/>
        <v>6</v>
      </c>
      <c r="E17" s="1" t="s">
        <v>7</v>
      </c>
      <c r="F17" s="1" t="s">
        <v>15</v>
      </c>
      <c r="G17">
        <v>47116</v>
      </c>
      <c r="H17">
        <v>100017</v>
      </c>
      <c r="I17" s="8"/>
      <c r="J17" s="22">
        <v>0.33402777777777781</v>
      </c>
      <c r="K17" s="22">
        <v>1.2499999999999999E-2</v>
      </c>
      <c r="L17" s="4"/>
      <c r="M17" s="4"/>
      <c r="N17" t="s">
        <v>891</v>
      </c>
      <c r="O17" s="4"/>
      <c r="P17" t="s">
        <v>60</v>
      </c>
      <c r="Q17">
        <v>5</v>
      </c>
    </row>
    <row r="18" spans="1:17" ht="14.25" customHeight="1" x14ac:dyDescent="0.25">
      <c r="A18" s="4"/>
      <c r="B18" s="21">
        <v>44197</v>
      </c>
      <c r="C18" s="5">
        <f t="shared" si="0"/>
        <v>1</v>
      </c>
      <c r="D18" s="5">
        <f t="shared" si="1"/>
        <v>6</v>
      </c>
      <c r="E18" s="1" t="s">
        <v>7</v>
      </c>
      <c r="F18" s="1" t="s">
        <v>14</v>
      </c>
      <c r="G18">
        <v>47118</v>
      </c>
      <c r="H18">
        <v>100018</v>
      </c>
      <c r="I18" s="8"/>
      <c r="J18" s="22">
        <v>0.49722222222222223</v>
      </c>
      <c r="K18" s="22">
        <v>2.8472222222222222E-2</v>
      </c>
      <c r="L18" s="4"/>
      <c r="M18" s="4"/>
      <c r="N18" t="s">
        <v>892</v>
      </c>
      <c r="O18" s="4"/>
      <c r="P18" t="s">
        <v>61</v>
      </c>
      <c r="Q18">
        <v>18</v>
      </c>
    </row>
    <row r="19" spans="1:17" ht="14.25" customHeight="1" x14ac:dyDescent="0.25">
      <c r="A19" s="4"/>
      <c r="B19" s="21">
        <v>44197</v>
      </c>
      <c r="C19" s="5">
        <f t="shared" si="0"/>
        <v>1</v>
      </c>
      <c r="D19" s="5">
        <f t="shared" si="1"/>
        <v>6</v>
      </c>
      <c r="E19" s="1" t="s">
        <v>7</v>
      </c>
      <c r="F19" s="1" t="s">
        <v>15</v>
      </c>
      <c r="G19">
        <v>47119</v>
      </c>
      <c r="H19">
        <v>100019</v>
      </c>
      <c r="I19" s="8"/>
      <c r="J19" s="22">
        <v>0.44236111111111115</v>
      </c>
      <c r="K19" s="22">
        <v>0.84722222222222221</v>
      </c>
      <c r="L19" s="4"/>
      <c r="M19" s="4"/>
      <c r="N19" t="s">
        <v>893</v>
      </c>
      <c r="O19" s="4"/>
      <c r="P19" t="s">
        <v>62</v>
      </c>
      <c r="Q19">
        <v>1</v>
      </c>
    </row>
    <row r="20" spans="1:17" ht="14.25" customHeight="1" x14ac:dyDescent="0.25">
      <c r="A20" s="4"/>
      <c r="B20" s="21">
        <v>44197</v>
      </c>
      <c r="C20" s="5">
        <f t="shared" si="0"/>
        <v>1</v>
      </c>
      <c r="D20" s="5">
        <f t="shared" si="1"/>
        <v>6</v>
      </c>
      <c r="E20" s="1" t="s">
        <v>6</v>
      </c>
      <c r="F20" s="1" t="s">
        <v>11</v>
      </c>
      <c r="G20">
        <v>47119</v>
      </c>
      <c r="H20">
        <v>100019</v>
      </c>
      <c r="I20" s="8"/>
      <c r="J20" s="22">
        <v>0.45069444444444445</v>
      </c>
      <c r="K20" s="22">
        <v>0.58402777777777781</v>
      </c>
      <c r="L20" s="4"/>
      <c r="M20" s="4"/>
      <c r="N20" t="s">
        <v>894</v>
      </c>
      <c r="O20" s="4"/>
      <c r="P20" t="s">
        <v>63</v>
      </c>
      <c r="Q20">
        <v>6</v>
      </c>
    </row>
    <row r="21" spans="1:17" ht="14.25" customHeight="1" x14ac:dyDescent="0.25">
      <c r="A21" s="4"/>
      <c r="B21" s="21">
        <v>44197</v>
      </c>
      <c r="C21" s="5">
        <f t="shared" si="0"/>
        <v>1</v>
      </c>
      <c r="D21" s="5">
        <f t="shared" si="1"/>
        <v>6</v>
      </c>
      <c r="E21" s="1" t="s">
        <v>5</v>
      </c>
      <c r="F21" s="1" t="s">
        <v>19</v>
      </c>
      <c r="G21">
        <v>47121</v>
      </c>
      <c r="H21">
        <v>100020</v>
      </c>
      <c r="I21" s="4"/>
      <c r="J21" s="22">
        <v>0.27083333333333331</v>
      </c>
      <c r="K21" s="22">
        <v>0.19236111111111112</v>
      </c>
      <c r="L21" s="4"/>
      <c r="M21" s="4"/>
      <c r="N21" t="s">
        <v>895</v>
      </c>
      <c r="O21" s="4"/>
      <c r="P21" t="s">
        <v>64</v>
      </c>
      <c r="Q21">
        <v>10</v>
      </c>
    </row>
    <row r="22" spans="1:17" ht="14.25" customHeight="1" x14ac:dyDescent="0.25">
      <c r="A22" s="4"/>
      <c r="B22" s="21">
        <v>44197</v>
      </c>
      <c r="C22" s="5">
        <f t="shared" si="0"/>
        <v>1</v>
      </c>
      <c r="D22" s="5">
        <f t="shared" si="1"/>
        <v>6</v>
      </c>
      <c r="E22" s="1" t="s">
        <v>6</v>
      </c>
      <c r="F22" s="1" t="s">
        <v>13</v>
      </c>
      <c r="G22">
        <v>47122</v>
      </c>
      <c r="H22">
        <v>100020</v>
      </c>
      <c r="I22" s="4"/>
      <c r="J22" s="22">
        <v>0.42986111111111108</v>
      </c>
      <c r="K22" s="22">
        <v>8.1944444444444445E-2</v>
      </c>
      <c r="L22" s="4"/>
      <c r="M22" s="4"/>
      <c r="N22" t="s">
        <v>896</v>
      </c>
      <c r="O22" s="4"/>
      <c r="P22" t="s">
        <v>65</v>
      </c>
      <c r="Q22">
        <v>2</v>
      </c>
    </row>
    <row r="23" spans="1:17" ht="14.25" customHeight="1" x14ac:dyDescent="0.25">
      <c r="A23" s="4"/>
      <c r="B23" s="21">
        <v>44197</v>
      </c>
      <c r="C23" s="5">
        <f t="shared" si="0"/>
        <v>1</v>
      </c>
      <c r="D23" s="5">
        <f t="shared" si="1"/>
        <v>6</v>
      </c>
      <c r="E23" s="1" t="s">
        <v>6</v>
      </c>
      <c r="F23" s="1" t="s">
        <v>12</v>
      </c>
      <c r="G23">
        <v>47123</v>
      </c>
      <c r="H23">
        <v>100021</v>
      </c>
      <c r="I23" s="4"/>
      <c r="J23" s="22">
        <v>0.31319444444444444</v>
      </c>
      <c r="K23" s="22">
        <v>0.85972222222222217</v>
      </c>
      <c r="L23" s="4"/>
      <c r="M23" s="4"/>
      <c r="N23" t="s">
        <v>897</v>
      </c>
      <c r="O23" s="4"/>
      <c r="P23" t="s">
        <v>66</v>
      </c>
      <c r="Q23">
        <v>4</v>
      </c>
    </row>
    <row r="24" spans="1:17" ht="14.25" customHeight="1" x14ac:dyDescent="0.25">
      <c r="A24" s="4"/>
      <c r="B24" s="21">
        <v>44197</v>
      </c>
      <c r="C24" s="5">
        <f t="shared" si="0"/>
        <v>1</v>
      </c>
      <c r="D24" s="5">
        <f t="shared" si="1"/>
        <v>6</v>
      </c>
      <c r="E24" s="1" t="s">
        <v>7</v>
      </c>
      <c r="F24" s="1" t="s">
        <v>15</v>
      </c>
      <c r="G24">
        <v>47123</v>
      </c>
      <c r="H24">
        <v>100022</v>
      </c>
      <c r="I24" s="4"/>
      <c r="J24" s="22">
        <v>0.3743055555555555</v>
      </c>
      <c r="K24" s="22">
        <v>0.37361111111111112</v>
      </c>
      <c r="L24" s="4"/>
      <c r="M24" s="4"/>
      <c r="N24" t="s">
        <v>898</v>
      </c>
      <c r="O24" s="4"/>
      <c r="P24" t="s">
        <v>67</v>
      </c>
      <c r="Q24">
        <v>12</v>
      </c>
    </row>
    <row r="25" spans="1:17" ht="14.25" customHeight="1" x14ac:dyDescent="0.25">
      <c r="A25" s="4"/>
      <c r="B25" s="21">
        <v>44197</v>
      </c>
      <c r="C25" s="5">
        <f t="shared" si="0"/>
        <v>1</v>
      </c>
      <c r="D25" s="5">
        <f t="shared" si="1"/>
        <v>6</v>
      </c>
      <c r="E25" s="1" t="s">
        <v>5</v>
      </c>
      <c r="F25" s="1" t="s">
        <v>19</v>
      </c>
      <c r="G25">
        <v>47124</v>
      </c>
      <c r="H25">
        <v>100022</v>
      </c>
      <c r="I25" s="8"/>
      <c r="J25" s="22">
        <v>0.3972222222222222</v>
      </c>
      <c r="K25" s="22">
        <v>0.76180555555555562</v>
      </c>
      <c r="L25" s="4"/>
      <c r="M25" s="4"/>
      <c r="N25" t="s">
        <v>899</v>
      </c>
      <c r="O25" s="4"/>
      <c r="P25" t="s">
        <v>68</v>
      </c>
      <c r="Q25">
        <v>16</v>
      </c>
    </row>
    <row r="26" spans="1:17" ht="14.25" customHeight="1" x14ac:dyDescent="0.25">
      <c r="A26" s="4"/>
      <c r="B26" s="21">
        <v>44197</v>
      </c>
      <c r="C26" s="5">
        <f t="shared" si="0"/>
        <v>1</v>
      </c>
      <c r="D26" s="5">
        <f t="shared" si="1"/>
        <v>6</v>
      </c>
      <c r="E26" s="1" t="s">
        <v>7</v>
      </c>
      <c r="F26" s="1" t="s">
        <v>15</v>
      </c>
      <c r="G26">
        <v>47126</v>
      </c>
      <c r="H26">
        <v>100023</v>
      </c>
      <c r="I26" s="4"/>
      <c r="J26" s="22">
        <v>0.46388888888888885</v>
      </c>
      <c r="K26" s="22">
        <v>4.5138888888888888E-2</v>
      </c>
      <c r="L26" s="4"/>
      <c r="M26" s="4"/>
      <c r="N26" t="s">
        <v>900</v>
      </c>
      <c r="O26" s="4"/>
      <c r="P26" t="s">
        <v>69</v>
      </c>
      <c r="Q26">
        <v>15</v>
      </c>
    </row>
    <row r="27" spans="1:17" ht="14.25" customHeight="1" x14ac:dyDescent="0.25">
      <c r="A27" s="4"/>
      <c r="B27" s="21">
        <v>44197</v>
      </c>
      <c r="C27" s="5">
        <f t="shared" si="0"/>
        <v>1</v>
      </c>
      <c r="D27" s="5">
        <f t="shared" si="1"/>
        <v>6</v>
      </c>
      <c r="E27" s="1" t="s">
        <v>5</v>
      </c>
      <c r="F27" s="1" t="s">
        <v>20</v>
      </c>
      <c r="G27">
        <v>47126</v>
      </c>
      <c r="H27">
        <v>100024</v>
      </c>
      <c r="I27" s="4"/>
      <c r="J27" s="22">
        <v>0.38125000000000003</v>
      </c>
      <c r="K27" s="22">
        <v>0.3125</v>
      </c>
      <c r="L27" s="4"/>
      <c r="M27" s="4"/>
      <c r="N27" t="s">
        <v>901</v>
      </c>
      <c r="O27" s="4"/>
      <c r="P27" t="s">
        <v>70</v>
      </c>
      <c r="Q27">
        <v>27</v>
      </c>
    </row>
    <row r="28" spans="1:17" ht="14.25" customHeight="1" x14ac:dyDescent="0.25">
      <c r="A28" s="4"/>
      <c r="B28" s="21">
        <v>44197</v>
      </c>
      <c r="C28" s="5">
        <f t="shared" si="0"/>
        <v>1</v>
      </c>
      <c r="D28" s="5">
        <f t="shared" si="1"/>
        <v>6</v>
      </c>
      <c r="E28" s="1" t="s">
        <v>5</v>
      </c>
      <c r="F28" s="1" t="s">
        <v>20</v>
      </c>
      <c r="G28">
        <v>47127</v>
      </c>
      <c r="H28">
        <v>100024</v>
      </c>
      <c r="I28" s="4"/>
      <c r="J28" s="22">
        <v>0.30624999999999997</v>
      </c>
      <c r="K28" s="22">
        <v>0.89236111111111116</v>
      </c>
      <c r="L28" s="4"/>
      <c r="M28" s="4"/>
      <c r="N28" t="s">
        <v>902</v>
      </c>
      <c r="O28" s="4"/>
      <c r="P28" t="s">
        <v>71</v>
      </c>
      <c r="Q28">
        <v>27</v>
      </c>
    </row>
    <row r="29" spans="1:17" ht="14.25" customHeight="1" x14ac:dyDescent="0.25">
      <c r="A29" s="4"/>
      <c r="B29" s="21">
        <v>44197</v>
      </c>
      <c r="C29" s="5">
        <f t="shared" si="0"/>
        <v>1</v>
      </c>
      <c r="D29" s="5">
        <f t="shared" si="1"/>
        <v>6</v>
      </c>
      <c r="E29" s="1" t="s">
        <v>5</v>
      </c>
      <c r="F29" s="1" t="s">
        <v>20</v>
      </c>
      <c r="G29">
        <v>47128</v>
      </c>
      <c r="H29">
        <v>100025</v>
      </c>
      <c r="I29" s="4"/>
      <c r="J29" s="22">
        <v>0.32013888888888892</v>
      </c>
      <c r="K29" s="22">
        <v>0.28333333333333333</v>
      </c>
      <c r="L29" s="4"/>
      <c r="M29" s="4"/>
      <c r="N29" t="s">
        <v>903</v>
      </c>
      <c r="O29" s="4"/>
      <c r="P29" t="s">
        <v>72</v>
      </c>
      <c r="Q29">
        <v>5</v>
      </c>
    </row>
    <row r="30" spans="1:17" ht="14.25" customHeight="1" x14ac:dyDescent="0.25">
      <c r="A30" s="4"/>
      <c r="B30" s="21">
        <v>44197</v>
      </c>
      <c r="C30" s="5">
        <f t="shared" si="0"/>
        <v>1</v>
      </c>
      <c r="D30" s="5">
        <f t="shared" si="1"/>
        <v>6</v>
      </c>
      <c r="E30" s="1" t="s">
        <v>5</v>
      </c>
      <c r="F30" s="1" t="s">
        <v>17</v>
      </c>
      <c r="G30">
        <v>47130</v>
      </c>
      <c r="H30">
        <v>100027</v>
      </c>
      <c r="I30" s="4"/>
      <c r="J30" s="22">
        <v>0.31527777777777777</v>
      </c>
      <c r="K30" s="22">
        <v>8.5416666666666655E-2</v>
      </c>
      <c r="L30" s="4"/>
      <c r="M30" s="4"/>
      <c r="N30" t="s">
        <v>904</v>
      </c>
      <c r="O30" s="4"/>
      <c r="P30" t="s">
        <v>73</v>
      </c>
      <c r="Q30">
        <v>19</v>
      </c>
    </row>
    <row r="31" spans="1:17" ht="14.25" customHeight="1" x14ac:dyDescent="0.25">
      <c r="A31" s="4"/>
      <c r="B31" s="21">
        <v>44197</v>
      </c>
      <c r="C31" s="5">
        <f t="shared" si="0"/>
        <v>1</v>
      </c>
      <c r="D31" s="5">
        <f t="shared" si="1"/>
        <v>6</v>
      </c>
      <c r="E31" s="1" t="s">
        <v>6</v>
      </c>
      <c r="F31" s="1" t="s">
        <v>11</v>
      </c>
      <c r="G31">
        <v>47130</v>
      </c>
      <c r="H31">
        <v>100028</v>
      </c>
      <c r="I31" s="13"/>
      <c r="J31" s="22">
        <v>0.45416666666666666</v>
      </c>
      <c r="K31" s="22">
        <v>0.67708333333333337</v>
      </c>
      <c r="L31" s="13"/>
      <c r="M31" s="13"/>
      <c r="N31" t="s">
        <v>905</v>
      </c>
      <c r="O31" s="4"/>
      <c r="P31" t="s">
        <v>74</v>
      </c>
      <c r="Q31">
        <v>8</v>
      </c>
    </row>
    <row r="32" spans="1:17" ht="14.25" customHeight="1" x14ac:dyDescent="0.25">
      <c r="A32" s="4"/>
      <c r="B32" s="21">
        <v>44197</v>
      </c>
      <c r="C32" s="5">
        <f t="shared" si="0"/>
        <v>1</v>
      </c>
      <c r="D32" s="5">
        <f t="shared" si="1"/>
        <v>6</v>
      </c>
      <c r="E32" s="1" t="s">
        <v>5</v>
      </c>
      <c r="F32" s="1" t="s">
        <v>19</v>
      </c>
      <c r="G32">
        <v>47131</v>
      </c>
      <c r="H32">
        <v>100030</v>
      </c>
      <c r="I32" s="13"/>
      <c r="J32" s="22">
        <v>0.36041666666666666</v>
      </c>
      <c r="K32" s="22">
        <v>8.1250000000000003E-2</v>
      </c>
      <c r="L32" s="13"/>
      <c r="M32" s="13"/>
      <c r="N32" t="s">
        <v>906</v>
      </c>
      <c r="O32" s="4"/>
      <c r="P32" t="s">
        <v>75</v>
      </c>
      <c r="Q32">
        <v>2</v>
      </c>
    </row>
    <row r="33" spans="1:17" ht="14.25" customHeight="1" x14ac:dyDescent="0.25">
      <c r="A33" s="4"/>
      <c r="B33" s="21">
        <v>44197</v>
      </c>
      <c r="C33" s="5">
        <f t="shared" si="0"/>
        <v>1</v>
      </c>
      <c r="D33" s="5">
        <f t="shared" si="1"/>
        <v>6</v>
      </c>
      <c r="E33" s="1" t="s">
        <v>6</v>
      </c>
      <c r="F33" s="1" t="s">
        <v>12</v>
      </c>
      <c r="G33">
        <v>47132</v>
      </c>
      <c r="H33">
        <v>100032</v>
      </c>
      <c r="I33" s="13"/>
      <c r="J33" s="22">
        <v>0.47152777777777777</v>
      </c>
      <c r="K33" s="22">
        <v>0.18680555555555556</v>
      </c>
      <c r="L33" s="13"/>
      <c r="M33" s="13"/>
      <c r="N33" t="s">
        <v>907</v>
      </c>
      <c r="O33" s="4"/>
      <c r="P33" t="s">
        <v>76</v>
      </c>
      <c r="Q33">
        <v>24</v>
      </c>
    </row>
    <row r="34" spans="1:17" ht="14.25" customHeight="1" x14ac:dyDescent="0.25">
      <c r="A34" s="4"/>
      <c r="B34" s="21">
        <v>44197</v>
      </c>
      <c r="C34" s="5">
        <f t="shared" si="0"/>
        <v>1</v>
      </c>
      <c r="D34" s="5">
        <f t="shared" si="1"/>
        <v>6</v>
      </c>
      <c r="E34" s="1" t="s">
        <v>7</v>
      </c>
      <c r="F34" s="1" t="s">
        <v>15</v>
      </c>
      <c r="G34">
        <v>47132</v>
      </c>
      <c r="H34">
        <v>100033</v>
      </c>
      <c r="I34" s="13"/>
      <c r="J34" s="22">
        <v>0.26180555555555557</v>
      </c>
      <c r="K34" s="22">
        <v>0.9145833333333333</v>
      </c>
      <c r="L34" s="13"/>
      <c r="M34" s="13"/>
      <c r="N34" t="s">
        <v>908</v>
      </c>
      <c r="O34" s="4"/>
      <c r="P34" t="s">
        <v>77</v>
      </c>
      <c r="Q34">
        <v>6</v>
      </c>
    </row>
    <row r="35" spans="1:17" ht="14.25" customHeight="1" x14ac:dyDescent="0.25">
      <c r="A35" s="4"/>
      <c r="B35" s="21">
        <v>44197</v>
      </c>
      <c r="C35" s="5">
        <f t="shared" si="0"/>
        <v>1</v>
      </c>
      <c r="D35" s="5">
        <f t="shared" si="1"/>
        <v>6</v>
      </c>
      <c r="E35" s="1" t="s">
        <v>5</v>
      </c>
      <c r="F35" s="1" t="s">
        <v>17</v>
      </c>
      <c r="G35">
        <v>47133</v>
      </c>
      <c r="H35">
        <v>100037</v>
      </c>
      <c r="I35" s="4"/>
      <c r="J35" s="22">
        <v>0.37152777777777773</v>
      </c>
      <c r="K35" s="22">
        <v>0.26527777777777778</v>
      </c>
      <c r="L35" s="4"/>
      <c r="M35" s="4"/>
      <c r="N35" t="s">
        <v>909</v>
      </c>
      <c r="O35" s="4"/>
      <c r="P35" t="s">
        <v>78</v>
      </c>
      <c r="Q35">
        <v>27</v>
      </c>
    </row>
    <row r="36" spans="1:17" ht="14.25" customHeight="1" x14ac:dyDescent="0.25">
      <c r="A36" s="4"/>
      <c r="B36" s="21">
        <v>44197</v>
      </c>
      <c r="C36" s="5">
        <f t="shared" si="0"/>
        <v>1</v>
      </c>
      <c r="D36" s="5">
        <f t="shared" si="1"/>
        <v>6</v>
      </c>
      <c r="E36" s="1" t="s">
        <v>5</v>
      </c>
      <c r="F36" s="1" t="s">
        <v>17</v>
      </c>
      <c r="G36">
        <v>47133</v>
      </c>
      <c r="H36">
        <v>100037</v>
      </c>
      <c r="I36" s="13"/>
      <c r="J36" s="22">
        <v>0.3</v>
      </c>
      <c r="K36" s="22">
        <v>0.2298611111111111</v>
      </c>
      <c r="L36" s="13"/>
      <c r="M36" s="13"/>
      <c r="N36" t="s">
        <v>910</v>
      </c>
      <c r="O36" s="4"/>
      <c r="P36" t="s">
        <v>79</v>
      </c>
      <c r="Q36">
        <v>18</v>
      </c>
    </row>
    <row r="37" spans="1:17" ht="14.25" customHeight="1" x14ac:dyDescent="0.25">
      <c r="A37" s="4"/>
      <c r="B37" s="21">
        <v>44197</v>
      </c>
      <c r="C37" s="5">
        <f t="shared" si="0"/>
        <v>1</v>
      </c>
      <c r="D37" s="5">
        <f t="shared" si="1"/>
        <v>6</v>
      </c>
      <c r="E37" s="1" t="s">
        <v>5</v>
      </c>
      <c r="F37" s="1" t="s">
        <v>20</v>
      </c>
      <c r="G37">
        <v>47134</v>
      </c>
      <c r="H37">
        <v>100038</v>
      </c>
      <c r="I37" s="4"/>
      <c r="J37" s="22">
        <v>0.29444444444444445</v>
      </c>
      <c r="K37" s="22">
        <v>0.76250000000000007</v>
      </c>
      <c r="L37" s="4"/>
      <c r="M37" s="4"/>
      <c r="N37" t="s">
        <v>911</v>
      </c>
      <c r="O37" s="4"/>
      <c r="P37" t="s">
        <v>80</v>
      </c>
      <c r="Q37">
        <v>23</v>
      </c>
    </row>
    <row r="38" spans="1:17" ht="14.25" customHeight="1" x14ac:dyDescent="0.25">
      <c r="A38" s="4"/>
      <c r="B38" s="21">
        <v>44198</v>
      </c>
      <c r="C38" s="5">
        <f t="shared" si="0"/>
        <v>1</v>
      </c>
      <c r="D38" s="5">
        <f t="shared" si="1"/>
        <v>7</v>
      </c>
      <c r="E38" s="1" t="s">
        <v>5</v>
      </c>
      <c r="F38" s="1" t="s">
        <v>20</v>
      </c>
      <c r="G38">
        <v>47134</v>
      </c>
      <c r="H38">
        <v>100039</v>
      </c>
      <c r="I38" s="4"/>
      <c r="J38" s="22">
        <v>0.4236111111111111</v>
      </c>
      <c r="K38" s="22">
        <v>0.53749999999999998</v>
      </c>
      <c r="L38" s="4"/>
      <c r="M38" s="4"/>
      <c r="N38" t="s">
        <v>912</v>
      </c>
      <c r="O38" s="4"/>
      <c r="P38" t="s">
        <v>81</v>
      </c>
      <c r="Q38">
        <v>27</v>
      </c>
    </row>
    <row r="39" spans="1:17" ht="14.25" customHeight="1" x14ac:dyDescent="0.25">
      <c r="A39" s="4"/>
      <c r="B39" s="21">
        <v>44198</v>
      </c>
      <c r="C39" s="5">
        <f t="shared" si="0"/>
        <v>1</v>
      </c>
      <c r="D39" s="5">
        <f t="shared" si="1"/>
        <v>7</v>
      </c>
      <c r="E39" s="1" t="s">
        <v>5</v>
      </c>
      <c r="F39" s="1" t="s">
        <v>20</v>
      </c>
      <c r="G39">
        <v>47135</v>
      </c>
      <c r="H39">
        <v>100039</v>
      </c>
      <c r="I39" s="4"/>
      <c r="J39" s="22">
        <v>0.45416666666666666</v>
      </c>
      <c r="K39" s="22">
        <v>8.3333333333333332E-3</v>
      </c>
      <c r="L39" s="4"/>
      <c r="M39" s="4"/>
      <c r="N39" t="s">
        <v>913</v>
      </c>
      <c r="O39" s="4"/>
      <c r="P39" t="s">
        <v>82</v>
      </c>
      <c r="Q39">
        <v>15</v>
      </c>
    </row>
    <row r="40" spans="1:17" ht="14.25" customHeight="1" x14ac:dyDescent="0.25">
      <c r="A40" s="4"/>
      <c r="B40" s="21">
        <v>44198</v>
      </c>
      <c r="C40" s="5">
        <f t="shared" si="0"/>
        <v>1</v>
      </c>
      <c r="D40" s="5">
        <f t="shared" si="1"/>
        <v>7</v>
      </c>
      <c r="E40" s="1" t="s">
        <v>6</v>
      </c>
      <c r="F40" s="1" t="s">
        <v>13</v>
      </c>
      <c r="G40">
        <v>47137</v>
      </c>
      <c r="H40">
        <v>100039</v>
      </c>
      <c r="I40" s="4"/>
      <c r="J40" s="22">
        <v>0.34513888888888888</v>
      </c>
      <c r="K40" s="22">
        <v>9.7222222222222224E-3</v>
      </c>
      <c r="L40" s="4"/>
      <c r="M40" s="4"/>
      <c r="N40" t="s">
        <v>914</v>
      </c>
      <c r="O40" s="4"/>
      <c r="P40" t="s">
        <v>83</v>
      </c>
      <c r="Q40">
        <v>28</v>
      </c>
    </row>
    <row r="41" spans="1:17" ht="14.25" customHeight="1" x14ac:dyDescent="0.25">
      <c r="A41" s="4"/>
      <c r="B41" s="21">
        <v>44198</v>
      </c>
      <c r="C41" s="5">
        <f t="shared" si="0"/>
        <v>1</v>
      </c>
      <c r="D41" s="5">
        <f t="shared" si="1"/>
        <v>7</v>
      </c>
      <c r="E41" s="1" t="s">
        <v>6</v>
      </c>
      <c r="F41" s="1" t="s">
        <v>11</v>
      </c>
      <c r="G41">
        <v>47137</v>
      </c>
      <c r="H41">
        <v>100039</v>
      </c>
      <c r="I41" s="4"/>
      <c r="J41" s="22">
        <v>0.45277777777777778</v>
      </c>
      <c r="K41" s="22">
        <v>0.84097222222222223</v>
      </c>
      <c r="L41" s="4"/>
      <c r="M41" s="4"/>
      <c r="N41" t="s">
        <v>915</v>
      </c>
      <c r="O41" s="4"/>
      <c r="P41" t="s">
        <v>84</v>
      </c>
      <c r="Q41">
        <v>5</v>
      </c>
    </row>
    <row r="42" spans="1:17" ht="14.25" customHeight="1" x14ac:dyDescent="0.25">
      <c r="A42" s="4"/>
      <c r="B42" s="21">
        <v>44198</v>
      </c>
      <c r="C42" s="5">
        <f t="shared" si="0"/>
        <v>1</v>
      </c>
      <c r="D42" s="5">
        <f t="shared" si="1"/>
        <v>7</v>
      </c>
      <c r="E42" s="1" t="s">
        <v>6</v>
      </c>
      <c r="F42" s="1" t="s">
        <v>12</v>
      </c>
      <c r="G42">
        <v>47137</v>
      </c>
      <c r="H42">
        <v>100040</v>
      </c>
      <c r="I42" s="4"/>
      <c r="J42" s="22">
        <v>0.3923611111111111</v>
      </c>
      <c r="K42" s="22">
        <v>0.84444444444444444</v>
      </c>
      <c r="L42" s="4"/>
      <c r="M42" s="4"/>
      <c r="N42" t="s">
        <v>916</v>
      </c>
      <c r="O42" s="4"/>
      <c r="P42" t="s">
        <v>85</v>
      </c>
      <c r="Q42">
        <v>31</v>
      </c>
    </row>
    <row r="43" spans="1:17" ht="14.25" customHeight="1" x14ac:dyDescent="0.25">
      <c r="A43" s="4"/>
      <c r="B43" s="21">
        <v>44198</v>
      </c>
      <c r="C43" s="5">
        <f t="shared" si="0"/>
        <v>1</v>
      </c>
      <c r="D43" s="5">
        <f t="shared" si="1"/>
        <v>7</v>
      </c>
      <c r="E43" s="1" t="s">
        <v>5</v>
      </c>
      <c r="F43" s="1" t="s">
        <v>20</v>
      </c>
      <c r="G43">
        <v>47139</v>
      </c>
      <c r="H43">
        <v>100041</v>
      </c>
      <c r="I43" s="4"/>
      <c r="J43" s="22">
        <v>0.26041666666666669</v>
      </c>
      <c r="K43" s="22">
        <v>0.4770833333333333</v>
      </c>
      <c r="L43" s="4"/>
      <c r="M43" s="4"/>
      <c r="N43" t="s">
        <v>917</v>
      </c>
      <c r="O43" s="4"/>
      <c r="P43" t="s">
        <v>86</v>
      </c>
      <c r="Q43">
        <v>12</v>
      </c>
    </row>
    <row r="44" spans="1:17" ht="14.25" customHeight="1" x14ac:dyDescent="0.25">
      <c r="A44" s="4"/>
      <c r="B44" s="21">
        <v>44198</v>
      </c>
      <c r="C44" s="5">
        <f t="shared" si="0"/>
        <v>1</v>
      </c>
      <c r="D44" s="5">
        <f t="shared" si="1"/>
        <v>7</v>
      </c>
      <c r="E44" s="1" t="s">
        <v>5</v>
      </c>
      <c r="F44" s="1" t="s">
        <v>20</v>
      </c>
      <c r="G44">
        <v>47141</v>
      </c>
      <c r="H44">
        <v>100042</v>
      </c>
      <c r="I44" s="8"/>
      <c r="J44" s="22">
        <v>0.41041666666666665</v>
      </c>
      <c r="K44" s="22">
        <v>0.22013888888888888</v>
      </c>
      <c r="L44" s="4"/>
      <c r="M44" s="4"/>
      <c r="N44" t="s">
        <v>918</v>
      </c>
      <c r="O44" s="4"/>
      <c r="P44" t="s">
        <v>87</v>
      </c>
      <c r="Q44">
        <v>14</v>
      </c>
    </row>
    <row r="45" spans="1:17" ht="14.25" customHeight="1" x14ac:dyDescent="0.25">
      <c r="A45" s="4"/>
      <c r="B45" s="21">
        <v>44198</v>
      </c>
      <c r="C45" s="5">
        <f t="shared" si="0"/>
        <v>1</v>
      </c>
      <c r="D45" s="5">
        <f t="shared" si="1"/>
        <v>7</v>
      </c>
      <c r="E45" s="1" t="s">
        <v>7</v>
      </c>
      <c r="F45" s="1" t="s">
        <v>15</v>
      </c>
      <c r="G45">
        <v>47141</v>
      </c>
      <c r="H45">
        <v>100044</v>
      </c>
      <c r="I45" s="8"/>
      <c r="J45" s="22">
        <v>0.48680555555555555</v>
      </c>
      <c r="K45" s="22">
        <v>0</v>
      </c>
      <c r="L45" s="4"/>
      <c r="M45" s="4"/>
      <c r="N45" t="s">
        <v>919</v>
      </c>
      <c r="O45" s="4"/>
      <c r="P45" t="s">
        <v>88</v>
      </c>
      <c r="Q45">
        <v>31</v>
      </c>
    </row>
    <row r="46" spans="1:17" ht="14.25" customHeight="1" x14ac:dyDescent="0.25">
      <c r="A46" s="4"/>
      <c r="B46" s="21">
        <v>44198</v>
      </c>
      <c r="C46" s="5">
        <f t="shared" si="0"/>
        <v>1</v>
      </c>
      <c r="D46" s="5">
        <f t="shared" si="1"/>
        <v>7</v>
      </c>
      <c r="E46" s="1" t="s">
        <v>6</v>
      </c>
      <c r="F46" s="1" t="s">
        <v>11</v>
      </c>
      <c r="G46">
        <v>47142</v>
      </c>
      <c r="H46">
        <v>100044</v>
      </c>
      <c r="I46" s="4"/>
      <c r="J46" s="22">
        <v>0.28958333333333336</v>
      </c>
      <c r="K46" s="22">
        <v>0.88402777777777775</v>
      </c>
      <c r="L46" s="4"/>
      <c r="M46" s="4"/>
      <c r="N46" t="s">
        <v>920</v>
      </c>
      <c r="O46" s="4"/>
      <c r="P46" t="s">
        <v>89</v>
      </c>
      <c r="Q46">
        <v>18</v>
      </c>
    </row>
    <row r="47" spans="1:17" ht="14.25" customHeight="1" x14ac:dyDescent="0.25">
      <c r="A47" s="4"/>
      <c r="B47" s="21">
        <v>44198</v>
      </c>
      <c r="C47" s="5">
        <f t="shared" si="0"/>
        <v>1</v>
      </c>
      <c r="D47" s="5">
        <f t="shared" si="1"/>
        <v>7</v>
      </c>
      <c r="E47" s="1" t="s">
        <v>7</v>
      </c>
      <c r="F47" s="1" t="s">
        <v>16</v>
      </c>
      <c r="G47">
        <v>47144</v>
      </c>
      <c r="H47">
        <v>100046</v>
      </c>
      <c r="I47" s="4"/>
      <c r="J47" s="22">
        <v>0.3215277777777778</v>
      </c>
      <c r="K47" s="22">
        <v>0.31319444444444444</v>
      </c>
      <c r="L47" s="4"/>
      <c r="M47" s="4"/>
      <c r="N47" t="s">
        <v>921</v>
      </c>
      <c r="O47" s="4"/>
      <c r="P47" t="s">
        <v>90</v>
      </c>
      <c r="Q47">
        <v>7</v>
      </c>
    </row>
    <row r="48" spans="1:17" ht="14.25" customHeight="1" x14ac:dyDescent="0.25">
      <c r="A48" s="4"/>
      <c r="B48" s="21">
        <v>44198</v>
      </c>
      <c r="C48" s="5">
        <f t="shared" si="0"/>
        <v>1</v>
      </c>
      <c r="D48" s="5">
        <f t="shared" si="1"/>
        <v>7</v>
      </c>
      <c r="E48" s="1" t="s">
        <v>6</v>
      </c>
      <c r="F48" s="1" t="s">
        <v>13</v>
      </c>
      <c r="G48">
        <v>47144</v>
      </c>
      <c r="H48">
        <v>100047</v>
      </c>
      <c r="I48" s="4"/>
      <c r="J48" s="22">
        <v>0.44444444444444442</v>
      </c>
      <c r="K48" s="22">
        <v>0.96527777777777779</v>
      </c>
      <c r="L48" s="4"/>
      <c r="M48" s="4"/>
      <c r="N48" t="s">
        <v>922</v>
      </c>
      <c r="O48" s="4"/>
      <c r="P48" t="s">
        <v>91</v>
      </c>
      <c r="Q48">
        <v>12</v>
      </c>
    </row>
    <row r="49" spans="1:17" ht="14.25" customHeight="1" x14ac:dyDescent="0.25">
      <c r="A49" s="4"/>
      <c r="B49" s="21">
        <v>44198</v>
      </c>
      <c r="C49" s="5">
        <f t="shared" si="0"/>
        <v>1</v>
      </c>
      <c r="D49" s="5">
        <f t="shared" si="1"/>
        <v>7</v>
      </c>
      <c r="E49" s="1" t="s">
        <v>6</v>
      </c>
      <c r="F49" s="1" t="s">
        <v>13</v>
      </c>
      <c r="G49">
        <v>47146</v>
      </c>
      <c r="H49">
        <v>100048</v>
      </c>
      <c r="I49" s="4"/>
      <c r="J49" s="22">
        <v>0.3611111111111111</v>
      </c>
      <c r="K49" s="22">
        <v>0.69166666666666676</v>
      </c>
      <c r="L49" s="4"/>
      <c r="M49" s="4"/>
      <c r="N49" t="s">
        <v>923</v>
      </c>
      <c r="O49" s="4"/>
      <c r="P49" t="s">
        <v>92</v>
      </c>
      <c r="Q49">
        <v>18</v>
      </c>
    </row>
    <row r="50" spans="1:17" ht="14.25" customHeight="1" x14ac:dyDescent="0.25">
      <c r="A50" s="4"/>
      <c r="B50" s="21">
        <v>44198</v>
      </c>
      <c r="C50" s="5">
        <f t="shared" si="0"/>
        <v>1</v>
      </c>
      <c r="D50" s="5">
        <f t="shared" si="1"/>
        <v>7</v>
      </c>
      <c r="E50" s="1" t="s">
        <v>5</v>
      </c>
      <c r="F50" s="1" t="s">
        <v>19</v>
      </c>
      <c r="G50">
        <v>47146</v>
      </c>
      <c r="H50">
        <v>100048</v>
      </c>
      <c r="I50" s="4"/>
      <c r="J50" s="22">
        <v>0.35069444444444442</v>
      </c>
      <c r="K50" s="22">
        <v>0.68402777777777779</v>
      </c>
      <c r="L50" s="4"/>
      <c r="M50" s="4"/>
      <c r="N50" t="s">
        <v>924</v>
      </c>
      <c r="O50" s="4"/>
      <c r="P50" t="s">
        <v>93</v>
      </c>
      <c r="Q50">
        <v>15</v>
      </c>
    </row>
    <row r="51" spans="1:17" ht="14.25" customHeight="1" x14ac:dyDescent="0.25">
      <c r="A51" s="4"/>
      <c r="B51" s="21">
        <v>44198</v>
      </c>
      <c r="C51" s="5">
        <f t="shared" si="0"/>
        <v>1</v>
      </c>
      <c r="D51" s="5">
        <f t="shared" si="1"/>
        <v>7</v>
      </c>
      <c r="E51" s="1" t="s">
        <v>6</v>
      </c>
      <c r="F51" s="1" t="s">
        <v>12</v>
      </c>
      <c r="G51">
        <v>47147</v>
      </c>
      <c r="H51">
        <v>100051</v>
      </c>
      <c r="I51" s="4"/>
      <c r="J51" s="22">
        <v>0.30486111111111108</v>
      </c>
      <c r="K51" s="22">
        <v>0.34375</v>
      </c>
      <c r="L51" s="14"/>
      <c r="M51" s="4"/>
      <c r="N51" t="s">
        <v>925</v>
      </c>
      <c r="O51" s="4"/>
      <c r="P51" t="s">
        <v>94</v>
      </c>
      <c r="Q51">
        <v>9</v>
      </c>
    </row>
    <row r="52" spans="1:17" ht="14.25" customHeight="1" x14ac:dyDescent="0.25">
      <c r="A52" s="4"/>
      <c r="B52" s="21">
        <v>44198</v>
      </c>
      <c r="C52" s="5">
        <f t="shared" si="0"/>
        <v>1</v>
      </c>
      <c r="D52" s="5">
        <f t="shared" si="1"/>
        <v>7</v>
      </c>
      <c r="E52" s="1" t="s">
        <v>7</v>
      </c>
      <c r="F52" s="1" t="s">
        <v>15</v>
      </c>
      <c r="G52">
        <v>47148</v>
      </c>
      <c r="H52">
        <v>100053</v>
      </c>
      <c r="I52" s="4"/>
      <c r="J52" s="22">
        <v>0.30555555555555552</v>
      </c>
      <c r="K52" s="22">
        <v>0.93541666666666667</v>
      </c>
      <c r="L52" s="15"/>
      <c r="M52" s="4"/>
      <c r="N52" t="s">
        <v>926</v>
      </c>
      <c r="O52" s="4"/>
      <c r="P52" t="s">
        <v>95</v>
      </c>
      <c r="Q52">
        <v>10</v>
      </c>
    </row>
    <row r="53" spans="1:17" ht="14.25" customHeight="1" x14ac:dyDescent="0.25">
      <c r="A53" s="4"/>
      <c r="B53" s="21">
        <v>44198</v>
      </c>
      <c r="C53" s="5">
        <f t="shared" si="0"/>
        <v>1</v>
      </c>
      <c r="D53" s="5">
        <f t="shared" si="1"/>
        <v>7</v>
      </c>
      <c r="E53" s="1" t="s">
        <v>6</v>
      </c>
      <c r="F53" s="1" t="s">
        <v>12</v>
      </c>
      <c r="G53">
        <v>47151</v>
      </c>
      <c r="H53">
        <v>100054</v>
      </c>
      <c r="I53" s="4"/>
      <c r="J53" s="22">
        <v>0.37708333333333338</v>
      </c>
      <c r="K53" s="22">
        <v>0.26666666666666666</v>
      </c>
      <c r="L53" s="4"/>
      <c r="M53" s="4"/>
      <c r="N53" t="s">
        <v>927</v>
      </c>
      <c r="O53" s="4"/>
      <c r="P53" t="s">
        <v>96</v>
      </c>
      <c r="Q53">
        <v>18</v>
      </c>
    </row>
    <row r="54" spans="1:17" ht="14.25" customHeight="1" x14ac:dyDescent="0.25">
      <c r="A54" s="4"/>
      <c r="B54" s="21">
        <v>44198</v>
      </c>
      <c r="C54" s="5">
        <f t="shared" si="0"/>
        <v>1</v>
      </c>
      <c r="D54" s="5">
        <f t="shared" si="1"/>
        <v>7</v>
      </c>
      <c r="E54" s="1" t="s">
        <v>6</v>
      </c>
      <c r="F54" s="1" t="s">
        <v>12</v>
      </c>
      <c r="G54">
        <v>47151</v>
      </c>
      <c r="H54">
        <v>100057</v>
      </c>
      <c r="I54" s="4"/>
      <c r="J54" s="22">
        <v>0.41666666666666669</v>
      </c>
      <c r="K54" s="22">
        <v>0.68819444444444444</v>
      </c>
      <c r="L54" s="4"/>
      <c r="M54" s="4"/>
      <c r="N54" t="s">
        <v>928</v>
      </c>
      <c r="O54" s="4"/>
      <c r="P54" t="s">
        <v>97</v>
      </c>
      <c r="Q54">
        <v>13</v>
      </c>
    </row>
    <row r="55" spans="1:17" ht="14.25" customHeight="1" x14ac:dyDescent="0.25">
      <c r="A55" s="4"/>
      <c r="B55" s="21">
        <v>44198</v>
      </c>
      <c r="C55" s="5">
        <f t="shared" si="0"/>
        <v>1</v>
      </c>
      <c r="D55" s="5">
        <f t="shared" si="1"/>
        <v>7</v>
      </c>
      <c r="E55" s="1" t="s">
        <v>6</v>
      </c>
      <c r="F55" s="1" t="s">
        <v>13</v>
      </c>
      <c r="G55">
        <v>47154</v>
      </c>
      <c r="H55">
        <v>100057</v>
      </c>
      <c r="I55" s="4"/>
      <c r="J55" s="22">
        <v>0.4375</v>
      </c>
      <c r="K55" s="22">
        <v>4.2361111111111106E-2</v>
      </c>
      <c r="L55" s="4"/>
      <c r="M55" s="4"/>
      <c r="N55" t="s">
        <v>929</v>
      </c>
      <c r="O55" s="4"/>
      <c r="P55" t="s">
        <v>98</v>
      </c>
      <c r="Q55">
        <v>6</v>
      </c>
    </row>
    <row r="56" spans="1:17" ht="14.25" customHeight="1" x14ac:dyDescent="0.25">
      <c r="A56" s="4"/>
      <c r="B56" s="21">
        <v>44198</v>
      </c>
      <c r="C56" s="5">
        <f t="shared" si="0"/>
        <v>1</v>
      </c>
      <c r="D56" s="5">
        <f t="shared" si="1"/>
        <v>7</v>
      </c>
      <c r="E56" s="1" t="s">
        <v>5</v>
      </c>
      <c r="F56" s="1" t="s">
        <v>18</v>
      </c>
      <c r="G56">
        <v>47154</v>
      </c>
      <c r="H56">
        <v>100059</v>
      </c>
      <c r="I56" s="4"/>
      <c r="J56" s="22">
        <v>0.47916666666666669</v>
      </c>
      <c r="K56" s="22">
        <v>0.64722222222222225</v>
      </c>
      <c r="L56" s="4"/>
      <c r="M56" s="4"/>
      <c r="N56" t="s">
        <v>930</v>
      </c>
      <c r="O56" s="4"/>
      <c r="P56" t="s">
        <v>99</v>
      </c>
      <c r="Q56">
        <v>14</v>
      </c>
    </row>
    <row r="57" spans="1:17" ht="14.25" customHeight="1" x14ac:dyDescent="0.25">
      <c r="A57" s="4"/>
      <c r="B57" s="21">
        <v>44198</v>
      </c>
      <c r="C57" s="5">
        <f t="shared" si="0"/>
        <v>1</v>
      </c>
      <c r="D57" s="5">
        <f t="shared" si="1"/>
        <v>7</v>
      </c>
      <c r="E57" s="1" t="s">
        <v>5</v>
      </c>
      <c r="F57" s="1" t="s">
        <v>19</v>
      </c>
      <c r="G57">
        <v>47155</v>
      </c>
      <c r="H57">
        <v>100060</v>
      </c>
      <c r="I57" s="4"/>
      <c r="J57" s="22">
        <v>0.36805555555555558</v>
      </c>
      <c r="K57" s="22">
        <v>0.3888888888888889</v>
      </c>
      <c r="L57" s="4"/>
      <c r="M57" s="4"/>
      <c r="N57" t="s">
        <v>931</v>
      </c>
      <c r="O57" s="4"/>
      <c r="P57" t="s">
        <v>100</v>
      </c>
      <c r="Q57">
        <v>27</v>
      </c>
    </row>
    <row r="58" spans="1:17" ht="14.25" customHeight="1" x14ac:dyDescent="0.25">
      <c r="A58" s="4"/>
      <c r="B58" s="21">
        <v>44198</v>
      </c>
      <c r="C58" s="5">
        <f t="shared" si="0"/>
        <v>1</v>
      </c>
      <c r="D58" s="5">
        <f t="shared" si="1"/>
        <v>7</v>
      </c>
      <c r="E58" s="1" t="s">
        <v>5</v>
      </c>
      <c r="F58" s="1" t="s">
        <v>18</v>
      </c>
      <c r="G58">
        <v>47157</v>
      </c>
      <c r="H58">
        <v>100060</v>
      </c>
      <c r="I58" s="8"/>
      <c r="J58" s="22">
        <v>0.45694444444444443</v>
      </c>
      <c r="K58" s="22">
        <v>0.75486111111111109</v>
      </c>
      <c r="L58" s="4"/>
      <c r="M58" s="4"/>
      <c r="N58" t="s">
        <v>932</v>
      </c>
      <c r="O58" s="4"/>
      <c r="P58" t="s">
        <v>101</v>
      </c>
      <c r="Q58">
        <v>14</v>
      </c>
    </row>
    <row r="59" spans="1:17" ht="14.25" customHeight="1" x14ac:dyDescent="0.25">
      <c r="A59" s="4"/>
      <c r="B59" s="21">
        <v>44198</v>
      </c>
      <c r="C59" s="5">
        <f t="shared" si="0"/>
        <v>1</v>
      </c>
      <c r="D59" s="5">
        <f t="shared" si="1"/>
        <v>7</v>
      </c>
      <c r="E59" s="1" t="s">
        <v>7</v>
      </c>
      <c r="F59" s="1" t="s">
        <v>15</v>
      </c>
      <c r="G59">
        <v>47159</v>
      </c>
      <c r="H59">
        <v>100061</v>
      </c>
      <c r="I59" s="8"/>
      <c r="J59" s="22">
        <v>0.27638888888888885</v>
      </c>
      <c r="K59" s="22">
        <v>0.5180555555555556</v>
      </c>
      <c r="L59" s="4"/>
      <c r="M59" s="4"/>
      <c r="N59" t="s">
        <v>933</v>
      </c>
      <c r="O59" s="4"/>
      <c r="P59" t="s">
        <v>102</v>
      </c>
      <c r="Q59">
        <v>8</v>
      </c>
    </row>
    <row r="60" spans="1:17" ht="14.25" customHeight="1" x14ac:dyDescent="0.25">
      <c r="A60" s="4"/>
      <c r="B60" s="21">
        <v>44198</v>
      </c>
      <c r="C60" s="5">
        <f t="shared" si="0"/>
        <v>1</v>
      </c>
      <c r="D60" s="5">
        <f t="shared" si="1"/>
        <v>7</v>
      </c>
      <c r="E60" s="1" t="s">
        <v>6</v>
      </c>
      <c r="F60" s="1" t="s">
        <v>12</v>
      </c>
      <c r="G60">
        <v>47159</v>
      </c>
      <c r="H60">
        <v>100061</v>
      </c>
      <c r="I60" s="8"/>
      <c r="J60" s="22">
        <v>0.4993055555555555</v>
      </c>
      <c r="K60" s="22">
        <v>5.0694444444444452E-2</v>
      </c>
      <c r="L60" s="4"/>
      <c r="M60" s="4"/>
      <c r="N60" t="s">
        <v>934</v>
      </c>
      <c r="O60" s="4"/>
      <c r="P60" t="s">
        <v>103</v>
      </c>
      <c r="Q60">
        <v>19</v>
      </c>
    </row>
    <row r="61" spans="1:17" ht="14.25" customHeight="1" x14ac:dyDescent="0.25">
      <c r="A61" s="4"/>
      <c r="B61" s="21">
        <v>44198</v>
      </c>
      <c r="C61" s="5">
        <f t="shared" si="0"/>
        <v>1</v>
      </c>
      <c r="D61" s="5">
        <f t="shared" si="1"/>
        <v>7</v>
      </c>
      <c r="E61" s="1" t="s">
        <v>7</v>
      </c>
      <c r="F61" s="1" t="s">
        <v>14</v>
      </c>
      <c r="G61">
        <v>47160</v>
      </c>
      <c r="H61">
        <v>100061</v>
      </c>
      <c r="I61" s="8"/>
      <c r="J61" s="22">
        <v>0.34652777777777777</v>
      </c>
      <c r="K61" s="22">
        <v>0.57291666666666663</v>
      </c>
      <c r="L61" s="4"/>
      <c r="M61" s="4"/>
      <c r="N61" t="s">
        <v>935</v>
      </c>
      <c r="O61" s="4"/>
      <c r="P61" t="s">
        <v>104</v>
      </c>
      <c r="Q61">
        <v>22</v>
      </c>
    </row>
    <row r="62" spans="1:17" ht="14.25" customHeight="1" x14ac:dyDescent="0.25">
      <c r="A62" s="4"/>
      <c r="B62" s="21">
        <v>44198</v>
      </c>
      <c r="C62" s="5">
        <f t="shared" si="0"/>
        <v>1</v>
      </c>
      <c r="D62" s="5">
        <f t="shared" si="1"/>
        <v>7</v>
      </c>
      <c r="E62" s="1" t="s">
        <v>5</v>
      </c>
      <c r="F62" s="1" t="s">
        <v>19</v>
      </c>
      <c r="G62">
        <v>47161</v>
      </c>
      <c r="H62">
        <v>100063</v>
      </c>
      <c r="I62" s="8"/>
      <c r="J62" s="22">
        <v>0.36249999999999999</v>
      </c>
      <c r="K62" s="22">
        <v>5.7638888888888885E-2</v>
      </c>
      <c r="L62" s="4"/>
      <c r="M62" s="4"/>
      <c r="N62" t="s">
        <v>936</v>
      </c>
      <c r="O62" s="4"/>
      <c r="P62" t="s">
        <v>105</v>
      </c>
      <c r="Q62">
        <v>25</v>
      </c>
    </row>
    <row r="63" spans="1:17" ht="14.25" customHeight="1" x14ac:dyDescent="0.25">
      <c r="A63" s="4"/>
      <c r="B63" s="21">
        <v>44198</v>
      </c>
      <c r="C63" s="5">
        <f t="shared" si="0"/>
        <v>1</v>
      </c>
      <c r="D63" s="5">
        <f t="shared" si="1"/>
        <v>7</v>
      </c>
      <c r="E63" s="1" t="s">
        <v>7</v>
      </c>
      <c r="F63" s="1" t="s">
        <v>16</v>
      </c>
      <c r="G63">
        <v>47164</v>
      </c>
      <c r="H63">
        <v>100064</v>
      </c>
      <c r="I63" s="8"/>
      <c r="J63" s="22">
        <v>0.3354166666666667</v>
      </c>
      <c r="K63" s="22">
        <v>0.24583333333333335</v>
      </c>
      <c r="L63" s="4"/>
      <c r="M63" s="4"/>
      <c r="N63" t="s">
        <v>937</v>
      </c>
      <c r="O63" s="4"/>
      <c r="P63" t="s">
        <v>106</v>
      </c>
      <c r="Q63">
        <v>10</v>
      </c>
    </row>
    <row r="64" spans="1:17" ht="14.25" customHeight="1" x14ac:dyDescent="0.25">
      <c r="A64" s="4"/>
      <c r="B64" s="21">
        <v>44198</v>
      </c>
      <c r="C64" s="5">
        <f t="shared" si="0"/>
        <v>1</v>
      </c>
      <c r="D64" s="5">
        <f t="shared" si="1"/>
        <v>7</v>
      </c>
      <c r="E64" s="1" t="s">
        <v>7</v>
      </c>
      <c r="F64" s="1" t="s">
        <v>16</v>
      </c>
      <c r="G64">
        <v>47165</v>
      </c>
      <c r="H64">
        <v>100065</v>
      </c>
      <c r="I64" s="8"/>
      <c r="J64" s="22">
        <v>0.29444444444444445</v>
      </c>
      <c r="K64" s="22">
        <v>5.5555555555555552E-2</v>
      </c>
      <c r="L64" s="4"/>
      <c r="M64" s="4"/>
      <c r="N64" t="s">
        <v>938</v>
      </c>
      <c r="O64" s="4"/>
      <c r="P64" t="s">
        <v>107</v>
      </c>
      <c r="Q64">
        <v>19</v>
      </c>
    </row>
    <row r="65" spans="1:17" ht="14.25" customHeight="1" x14ac:dyDescent="0.25">
      <c r="A65" s="4"/>
      <c r="B65" s="21">
        <v>44199</v>
      </c>
      <c r="C65" s="5">
        <f t="shared" si="0"/>
        <v>2</v>
      </c>
      <c r="D65" s="5">
        <f t="shared" si="1"/>
        <v>1</v>
      </c>
      <c r="E65" s="1" t="s">
        <v>5</v>
      </c>
      <c r="F65" s="1" t="s">
        <v>18</v>
      </c>
      <c r="G65">
        <v>47169</v>
      </c>
      <c r="H65">
        <v>100067</v>
      </c>
      <c r="I65" s="4"/>
      <c r="J65" s="22">
        <v>0.31041666666666667</v>
      </c>
      <c r="K65" s="22">
        <v>0.2076388888888889</v>
      </c>
      <c r="L65" s="4"/>
      <c r="M65" s="4"/>
      <c r="N65" t="s">
        <v>939</v>
      </c>
      <c r="O65" s="4"/>
      <c r="P65" t="s">
        <v>108</v>
      </c>
      <c r="Q65">
        <v>27</v>
      </c>
    </row>
    <row r="66" spans="1:17" ht="14.25" customHeight="1" x14ac:dyDescent="0.25">
      <c r="A66" s="4"/>
      <c r="B66" s="21">
        <v>44199</v>
      </c>
      <c r="C66" s="5">
        <f t="shared" si="0"/>
        <v>2</v>
      </c>
      <c r="D66" s="5">
        <f t="shared" si="1"/>
        <v>1</v>
      </c>
      <c r="E66" s="1" t="s">
        <v>5</v>
      </c>
      <c r="F66" s="1" t="s">
        <v>17</v>
      </c>
      <c r="G66">
        <v>47170</v>
      </c>
      <c r="H66">
        <v>100070</v>
      </c>
      <c r="I66" s="4"/>
      <c r="J66" s="22">
        <v>0.33124999999999999</v>
      </c>
      <c r="K66" s="22">
        <v>0.78333333333333333</v>
      </c>
      <c r="L66" s="4"/>
      <c r="M66" s="4"/>
      <c r="N66" t="s">
        <v>940</v>
      </c>
      <c r="O66" s="4"/>
      <c r="P66" t="s">
        <v>109</v>
      </c>
      <c r="Q66">
        <v>4</v>
      </c>
    </row>
    <row r="67" spans="1:17" ht="14.25" customHeight="1" x14ac:dyDescent="0.25">
      <c r="A67" s="4"/>
      <c r="B67" s="21">
        <v>44199</v>
      </c>
      <c r="C67" s="5">
        <f t="shared" ref="C67:C130" si="2">WEEKNUM(B67)</f>
        <v>2</v>
      </c>
      <c r="D67" s="5">
        <f t="shared" ref="D67:D130" si="3">WEEKDAY(B67)</f>
        <v>1</v>
      </c>
      <c r="E67" s="1" t="s">
        <v>6</v>
      </c>
      <c r="F67" s="1" t="s">
        <v>12</v>
      </c>
      <c r="G67">
        <v>47171</v>
      </c>
      <c r="H67">
        <v>100071</v>
      </c>
      <c r="I67" s="4"/>
      <c r="J67" s="22">
        <v>0.42708333333333331</v>
      </c>
      <c r="K67" s="22">
        <v>0.22152777777777777</v>
      </c>
      <c r="L67" s="4"/>
      <c r="M67" s="4"/>
      <c r="N67" t="s">
        <v>941</v>
      </c>
      <c r="O67" s="4"/>
      <c r="P67" t="s">
        <v>110</v>
      </c>
      <c r="Q67">
        <v>18</v>
      </c>
    </row>
    <row r="68" spans="1:17" ht="14.25" customHeight="1" x14ac:dyDescent="0.25">
      <c r="A68" s="4"/>
      <c r="B68" s="21">
        <v>44199</v>
      </c>
      <c r="C68" s="5">
        <f t="shared" si="2"/>
        <v>2</v>
      </c>
      <c r="D68" s="5">
        <f t="shared" si="3"/>
        <v>1</v>
      </c>
      <c r="E68" s="1" t="s">
        <v>7</v>
      </c>
      <c r="F68" s="1" t="s">
        <v>14</v>
      </c>
      <c r="G68">
        <v>47171</v>
      </c>
      <c r="H68">
        <v>100072</v>
      </c>
      <c r="I68" s="4"/>
      <c r="J68" s="22">
        <v>0.35416666666666669</v>
      </c>
      <c r="K68" s="22">
        <v>9.9999999999999992E-2</v>
      </c>
      <c r="L68" s="4"/>
      <c r="M68" s="4"/>
      <c r="N68" t="s">
        <v>942</v>
      </c>
      <c r="O68" s="4"/>
      <c r="P68" t="s">
        <v>111</v>
      </c>
      <c r="Q68">
        <v>4</v>
      </c>
    </row>
    <row r="69" spans="1:17" ht="14.25" customHeight="1" x14ac:dyDescent="0.25">
      <c r="A69" s="4"/>
      <c r="B69" s="21">
        <v>44199</v>
      </c>
      <c r="C69" s="5">
        <f t="shared" si="2"/>
        <v>2</v>
      </c>
      <c r="D69" s="5">
        <f t="shared" si="3"/>
        <v>1</v>
      </c>
      <c r="E69" s="1" t="s">
        <v>7</v>
      </c>
      <c r="F69" s="1" t="s">
        <v>16</v>
      </c>
      <c r="G69">
        <v>47173</v>
      </c>
      <c r="H69">
        <v>100073</v>
      </c>
      <c r="I69" s="4"/>
      <c r="J69" s="22">
        <v>0.3215277777777778</v>
      </c>
      <c r="K69" s="22">
        <v>0.96319444444444446</v>
      </c>
      <c r="L69" s="4"/>
      <c r="M69" s="4"/>
      <c r="N69" t="s">
        <v>943</v>
      </c>
      <c r="O69" s="4"/>
      <c r="P69" t="s">
        <v>112</v>
      </c>
      <c r="Q69">
        <v>23</v>
      </c>
    </row>
    <row r="70" spans="1:17" ht="14.25" customHeight="1" x14ac:dyDescent="0.25">
      <c r="A70" s="4"/>
      <c r="B70" s="21">
        <v>44199</v>
      </c>
      <c r="C70" s="5">
        <f t="shared" si="2"/>
        <v>2</v>
      </c>
      <c r="D70" s="5">
        <f t="shared" si="3"/>
        <v>1</v>
      </c>
      <c r="E70" s="1" t="s">
        <v>7</v>
      </c>
      <c r="F70" s="1" t="s">
        <v>14</v>
      </c>
      <c r="G70">
        <v>47173</v>
      </c>
      <c r="H70">
        <v>100073</v>
      </c>
      <c r="I70" s="4"/>
      <c r="J70" s="22">
        <v>0.38611111111111113</v>
      </c>
      <c r="K70" s="22">
        <v>4.1666666666666666E-3</v>
      </c>
      <c r="L70" s="4"/>
      <c r="M70" s="4"/>
      <c r="N70" t="s">
        <v>944</v>
      </c>
      <c r="O70" s="4"/>
      <c r="P70" t="s">
        <v>113</v>
      </c>
      <c r="Q70">
        <v>28</v>
      </c>
    </row>
    <row r="71" spans="1:17" ht="14.25" customHeight="1" x14ac:dyDescent="0.25">
      <c r="A71" s="4"/>
      <c r="B71" s="21">
        <v>44199</v>
      </c>
      <c r="C71" s="5">
        <f t="shared" si="2"/>
        <v>2</v>
      </c>
      <c r="D71" s="5">
        <f t="shared" si="3"/>
        <v>1</v>
      </c>
      <c r="E71" s="1" t="s">
        <v>5</v>
      </c>
      <c r="F71" s="1" t="s">
        <v>18</v>
      </c>
      <c r="G71">
        <v>47174</v>
      </c>
      <c r="H71">
        <v>100074</v>
      </c>
      <c r="I71" s="4"/>
      <c r="J71" s="22">
        <v>0.30208333333333331</v>
      </c>
      <c r="K71" s="22">
        <v>0.8305555555555556</v>
      </c>
      <c r="L71" s="4"/>
      <c r="M71" s="4"/>
      <c r="N71" t="s">
        <v>945</v>
      </c>
      <c r="O71" s="4"/>
      <c r="P71" t="s">
        <v>114</v>
      </c>
      <c r="Q71">
        <v>33</v>
      </c>
    </row>
    <row r="72" spans="1:17" ht="14.25" customHeight="1" x14ac:dyDescent="0.25">
      <c r="A72" s="4"/>
      <c r="B72" s="21">
        <v>44199</v>
      </c>
      <c r="C72" s="5">
        <f t="shared" si="2"/>
        <v>2</v>
      </c>
      <c r="D72" s="5">
        <f t="shared" si="3"/>
        <v>1</v>
      </c>
      <c r="E72" s="1" t="s">
        <v>6</v>
      </c>
      <c r="F72" s="1" t="s">
        <v>12</v>
      </c>
      <c r="G72">
        <v>47174</v>
      </c>
      <c r="H72">
        <v>100074</v>
      </c>
      <c r="I72" s="4"/>
      <c r="J72" s="22">
        <v>0.37847222222222227</v>
      </c>
      <c r="K72" s="22">
        <v>0.24305555555555555</v>
      </c>
      <c r="L72" s="4"/>
      <c r="M72" s="4"/>
      <c r="N72" t="s">
        <v>946</v>
      </c>
      <c r="O72" s="4"/>
      <c r="P72" t="s">
        <v>115</v>
      </c>
      <c r="Q72">
        <v>33</v>
      </c>
    </row>
    <row r="73" spans="1:17" ht="14.25" customHeight="1" x14ac:dyDescent="0.25">
      <c r="A73" s="4"/>
      <c r="B73" s="21">
        <v>44199</v>
      </c>
      <c r="C73" s="5">
        <f t="shared" si="2"/>
        <v>2</v>
      </c>
      <c r="D73" s="5">
        <f t="shared" si="3"/>
        <v>1</v>
      </c>
      <c r="E73" s="1" t="s">
        <v>5</v>
      </c>
      <c r="F73" s="1" t="s">
        <v>18</v>
      </c>
      <c r="G73">
        <v>47175</v>
      </c>
      <c r="H73">
        <v>100075</v>
      </c>
      <c r="I73" s="4"/>
      <c r="J73" s="22">
        <v>0.33263888888888887</v>
      </c>
      <c r="K73" s="22">
        <v>0.49236111111111108</v>
      </c>
      <c r="L73" s="4"/>
      <c r="M73" s="4"/>
      <c r="N73" t="s">
        <v>947</v>
      </c>
      <c r="O73" s="4"/>
      <c r="P73" t="s">
        <v>116</v>
      </c>
      <c r="Q73">
        <v>30</v>
      </c>
    </row>
    <row r="74" spans="1:17" ht="14.25" customHeight="1" x14ac:dyDescent="0.25">
      <c r="A74" s="4"/>
      <c r="B74" s="21">
        <v>44199</v>
      </c>
      <c r="C74" s="5">
        <f t="shared" si="2"/>
        <v>2</v>
      </c>
      <c r="D74" s="5">
        <f t="shared" si="3"/>
        <v>1</v>
      </c>
      <c r="E74" s="1" t="s">
        <v>5</v>
      </c>
      <c r="F74" s="1" t="s">
        <v>19</v>
      </c>
      <c r="G74">
        <v>47175</v>
      </c>
      <c r="H74">
        <v>100075</v>
      </c>
      <c r="I74" s="4"/>
      <c r="J74" s="22">
        <v>0.28263888888888888</v>
      </c>
      <c r="K74" s="22">
        <v>0.33263888888888887</v>
      </c>
      <c r="L74" s="4"/>
      <c r="M74" s="4"/>
      <c r="N74" t="s">
        <v>948</v>
      </c>
      <c r="O74" s="4"/>
      <c r="P74" t="s">
        <v>117</v>
      </c>
      <c r="Q74">
        <v>3</v>
      </c>
    </row>
    <row r="75" spans="1:17" ht="14.25" customHeight="1" x14ac:dyDescent="0.25">
      <c r="A75" s="4"/>
      <c r="B75" s="21">
        <v>44199</v>
      </c>
      <c r="C75" s="5">
        <f t="shared" si="2"/>
        <v>2</v>
      </c>
      <c r="D75" s="5">
        <f t="shared" si="3"/>
        <v>1</v>
      </c>
      <c r="E75" s="1" t="s">
        <v>5</v>
      </c>
      <c r="F75" s="1" t="s">
        <v>17</v>
      </c>
      <c r="G75">
        <v>47177</v>
      </c>
      <c r="H75">
        <v>100076</v>
      </c>
      <c r="I75" s="4"/>
      <c r="J75" s="22">
        <v>0.3444444444444445</v>
      </c>
      <c r="K75" s="22">
        <v>0.94930555555555562</v>
      </c>
      <c r="L75" s="4"/>
      <c r="M75" s="4"/>
      <c r="N75" t="s">
        <v>949</v>
      </c>
      <c r="O75" s="4"/>
      <c r="P75" t="s">
        <v>118</v>
      </c>
      <c r="Q75">
        <v>3</v>
      </c>
    </row>
    <row r="76" spans="1:17" ht="14.25" customHeight="1" x14ac:dyDescent="0.25">
      <c r="A76" s="4"/>
      <c r="B76" s="21">
        <v>44199</v>
      </c>
      <c r="C76" s="5">
        <f t="shared" si="2"/>
        <v>2</v>
      </c>
      <c r="D76" s="5">
        <f t="shared" si="3"/>
        <v>1</v>
      </c>
      <c r="E76" s="1" t="s">
        <v>7</v>
      </c>
      <c r="F76" s="1" t="s">
        <v>15</v>
      </c>
      <c r="G76">
        <v>47178</v>
      </c>
      <c r="H76">
        <v>100076</v>
      </c>
      <c r="I76" s="8"/>
      <c r="J76" s="22">
        <v>0.30624999999999997</v>
      </c>
      <c r="K76" s="22">
        <v>0.34652777777777777</v>
      </c>
      <c r="L76" s="4"/>
      <c r="M76" s="4"/>
      <c r="N76" t="s">
        <v>950</v>
      </c>
      <c r="O76" s="4"/>
      <c r="P76" t="s">
        <v>119</v>
      </c>
      <c r="Q76">
        <v>1</v>
      </c>
    </row>
    <row r="77" spans="1:17" ht="14.25" customHeight="1" x14ac:dyDescent="0.25">
      <c r="A77" s="4"/>
      <c r="B77" s="21">
        <v>44199</v>
      </c>
      <c r="C77" s="5">
        <f t="shared" si="2"/>
        <v>2</v>
      </c>
      <c r="D77" s="5">
        <f t="shared" si="3"/>
        <v>1</v>
      </c>
      <c r="E77" s="1" t="s">
        <v>5</v>
      </c>
      <c r="F77" s="1" t="s">
        <v>19</v>
      </c>
      <c r="G77">
        <v>47179</v>
      </c>
      <c r="H77">
        <v>100076</v>
      </c>
      <c r="I77" s="8"/>
      <c r="J77" s="22">
        <v>0.33611111111111108</v>
      </c>
      <c r="K77" s="22">
        <v>8.9583333333333334E-2</v>
      </c>
      <c r="L77" s="4"/>
      <c r="M77" s="4"/>
      <c r="N77" t="s">
        <v>951</v>
      </c>
      <c r="O77" s="4"/>
      <c r="P77" t="s">
        <v>120</v>
      </c>
      <c r="Q77">
        <v>12</v>
      </c>
    </row>
    <row r="78" spans="1:17" ht="14.25" customHeight="1" x14ac:dyDescent="0.25">
      <c r="A78" s="4"/>
      <c r="B78" s="21">
        <v>44199</v>
      </c>
      <c r="C78" s="5">
        <f t="shared" si="2"/>
        <v>2</v>
      </c>
      <c r="D78" s="5">
        <f t="shared" si="3"/>
        <v>1</v>
      </c>
      <c r="E78" s="1" t="s">
        <v>7</v>
      </c>
      <c r="F78" s="1" t="s">
        <v>16</v>
      </c>
      <c r="G78">
        <v>47181</v>
      </c>
      <c r="H78">
        <v>100077</v>
      </c>
      <c r="I78" s="8"/>
      <c r="J78" s="22">
        <v>0.31736111111111115</v>
      </c>
      <c r="K78" s="22">
        <v>0.71180555555555547</v>
      </c>
      <c r="L78" s="4"/>
      <c r="M78" s="4"/>
      <c r="N78" t="s">
        <v>952</v>
      </c>
      <c r="O78" s="4"/>
      <c r="P78" t="s">
        <v>121</v>
      </c>
      <c r="Q78">
        <v>20</v>
      </c>
    </row>
    <row r="79" spans="1:17" ht="14.25" customHeight="1" x14ac:dyDescent="0.25">
      <c r="A79" s="4"/>
      <c r="B79" s="21">
        <v>44199</v>
      </c>
      <c r="C79" s="5">
        <f t="shared" si="2"/>
        <v>2</v>
      </c>
      <c r="D79" s="5">
        <f t="shared" si="3"/>
        <v>1</v>
      </c>
      <c r="E79" s="1" t="s">
        <v>5</v>
      </c>
      <c r="F79" s="1" t="s">
        <v>18</v>
      </c>
      <c r="G79">
        <v>47182</v>
      </c>
      <c r="H79">
        <v>100078</v>
      </c>
      <c r="I79" s="8"/>
      <c r="J79" s="22">
        <v>0.30416666666666664</v>
      </c>
      <c r="K79" s="22">
        <v>0.38472222222222219</v>
      </c>
      <c r="L79" s="4"/>
      <c r="M79" s="4"/>
      <c r="N79" t="s">
        <v>953</v>
      </c>
      <c r="O79" s="4"/>
      <c r="P79" t="s">
        <v>122</v>
      </c>
      <c r="Q79">
        <v>12</v>
      </c>
    </row>
    <row r="80" spans="1:17" ht="14.25" customHeight="1" x14ac:dyDescent="0.25">
      <c r="A80" s="4"/>
      <c r="B80" s="21">
        <v>44199</v>
      </c>
      <c r="C80" s="5">
        <f t="shared" si="2"/>
        <v>2</v>
      </c>
      <c r="D80" s="5">
        <f t="shared" si="3"/>
        <v>1</v>
      </c>
      <c r="E80" s="1" t="s">
        <v>7</v>
      </c>
      <c r="F80" s="1" t="s">
        <v>16</v>
      </c>
      <c r="G80">
        <v>47182</v>
      </c>
      <c r="H80">
        <v>100078</v>
      </c>
      <c r="I80" s="8"/>
      <c r="J80" s="22">
        <v>0.33194444444444443</v>
      </c>
      <c r="K80" s="22">
        <v>7.4999999999999997E-2</v>
      </c>
      <c r="L80" s="4"/>
      <c r="M80" s="4"/>
      <c r="N80" t="s">
        <v>954</v>
      </c>
      <c r="O80" s="4"/>
      <c r="P80" t="s">
        <v>123</v>
      </c>
      <c r="Q80">
        <v>28</v>
      </c>
    </row>
    <row r="81" spans="1:17" ht="14.25" customHeight="1" x14ac:dyDescent="0.25">
      <c r="A81" s="4"/>
      <c r="B81" s="21">
        <v>44199</v>
      </c>
      <c r="C81" s="5">
        <f t="shared" si="2"/>
        <v>2</v>
      </c>
      <c r="D81" s="5">
        <f t="shared" si="3"/>
        <v>1</v>
      </c>
      <c r="E81" s="1" t="s">
        <v>7</v>
      </c>
      <c r="F81" s="1" t="s">
        <v>15</v>
      </c>
      <c r="G81">
        <v>47182</v>
      </c>
      <c r="H81">
        <v>100078</v>
      </c>
      <c r="I81" s="8"/>
      <c r="J81" s="22">
        <v>0.29652777777777778</v>
      </c>
      <c r="K81" s="22">
        <v>0.84027777777777779</v>
      </c>
      <c r="L81" s="4"/>
      <c r="M81" s="4"/>
      <c r="N81" t="s">
        <v>955</v>
      </c>
      <c r="O81" s="4"/>
      <c r="P81" t="s">
        <v>124</v>
      </c>
      <c r="Q81">
        <v>30</v>
      </c>
    </row>
    <row r="82" spans="1:17" ht="14.25" customHeight="1" x14ac:dyDescent="0.25">
      <c r="A82" s="4"/>
      <c r="B82" s="21">
        <v>44199</v>
      </c>
      <c r="C82" s="5">
        <f t="shared" si="2"/>
        <v>2</v>
      </c>
      <c r="D82" s="5">
        <f t="shared" si="3"/>
        <v>1</v>
      </c>
      <c r="E82" s="1" t="s">
        <v>5</v>
      </c>
      <c r="F82" s="1" t="s">
        <v>19</v>
      </c>
      <c r="G82">
        <v>47182</v>
      </c>
      <c r="H82">
        <v>100081</v>
      </c>
      <c r="I82" s="8"/>
      <c r="J82" s="22">
        <v>0.45416666666666666</v>
      </c>
      <c r="K82" s="22">
        <v>0.51388888888888895</v>
      </c>
      <c r="L82" s="4"/>
      <c r="M82" s="4"/>
      <c r="N82" t="s">
        <v>956</v>
      </c>
      <c r="O82" s="4"/>
      <c r="P82" t="s">
        <v>125</v>
      </c>
      <c r="Q82">
        <v>2</v>
      </c>
    </row>
    <row r="83" spans="1:17" ht="14.25" customHeight="1" x14ac:dyDescent="0.25">
      <c r="A83" s="4"/>
      <c r="B83" s="21">
        <v>44199</v>
      </c>
      <c r="C83" s="5">
        <f t="shared" si="2"/>
        <v>2</v>
      </c>
      <c r="D83" s="5">
        <f t="shared" si="3"/>
        <v>1</v>
      </c>
      <c r="E83" s="1" t="s">
        <v>7</v>
      </c>
      <c r="F83" s="1" t="s">
        <v>14</v>
      </c>
      <c r="G83">
        <v>47183</v>
      </c>
      <c r="H83">
        <v>100081</v>
      </c>
      <c r="I83" s="8"/>
      <c r="J83" s="22">
        <v>0.31597222222222221</v>
      </c>
      <c r="K83" s="22">
        <v>0.30208333333333331</v>
      </c>
      <c r="L83" s="4"/>
      <c r="M83" s="4"/>
      <c r="N83" t="s">
        <v>957</v>
      </c>
      <c r="O83" s="4"/>
      <c r="P83" t="s">
        <v>126</v>
      </c>
      <c r="Q83">
        <v>1</v>
      </c>
    </row>
    <row r="84" spans="1:17" ht="14.25" customHeight="1" x14ac:dyDescent="0.25">
      <c r="A84" s="4"/>
      <c r="B84" s="21">
        <v>44199</v>
      </c>
      <c r="C84" s="5">
        <f t="shared" si="2"/>
        <v>2</v>
      </c>
      <c r="D84" s="5">
        <f t="shared" si="3"/>
        <v>1</v>
      </c>
      <c r="E84" s="1" t="s">
        <v>7</v>
      </c>
      <c r="F84" s="1" t="s">
        <v>14</v>
      </c>
      <c r="G84">
        <v>47184</v>
      </c>
      <c r="H84">
        <v>100082</v>
      </c>
      <c r="I84" s="8"/>
      <c r="J84" s="22">
        <v>0.38194444444444442</v>
      </c>
      <c r="K84" s="22">
        <v>0.44375000000000003</v>
      </c>
      <c r="L84" s="4"/>
      <c r="M84" s="4"/>
      <c r="N84" t="s">
        <v>958</v>
      </c>
      <c r="O84" s="4"/>
      <c r="P84" t="s">
        <v>127</v>
      </c>
      <c r="Q84">
        <v>15</v>
      </c>
    </row>
    <row r="85" spans="1:17" ht="14.25" customHeight="1" x14ac:dyDescent="0.25">
      <c r="A85" s="4"/>
      <c r="B85" s="21">
        <v>44199</v>
      </c>
      <c r="C85" s="5">
        <f t="shared" si="2"/>
        <v>2</v>
      </c>
      <c r="D85" s="5">
        <f t="shared" si="3"/>
        <v>1</v>
      </c>
      <c r="E85" s="1" t="s">
        <v>6</v>
      </c>
      <c r="F85" s="1" t="s">
        <v>12</v>
      </c>
      <c r="G85">
        <v>47185</v>
      </c>
      <c r="H85">
        <v>100082</v>
      </c>
      <c r="I85" s="8"/>
      <c r="J85" s="22">
        <v>0.45277777777777778</v>
      </c>
      <c r="K85" s="22">
        <v>1.2499999999999999E-2</v>
      </c>
      <c r="L85" s="4"/>
      <c r="M85" s="4"/>
      <c r="N85" t="s">
        <v>959</v>
      </c>
      <c r="O85" s="4"/>
      <c r="P85" t="s">
        <v>128</v>
      </c>
      <c r="Q85">
        <v>22</v>
      </c>
    </row>
    <row r="86" spans="1:17" ht="14.25" customHeight="1" x14ac:dyDescent="0.25">
      <c r="A86" s="4"/>
      <c r="B86" s="21">
        <v>44199</v>
      </c>
      <c r="C86" s="5">
        <f t="shared" si="2"/>
        <v>2</v>
      </c>
      <c r="D86" s="5">
        <f t="shared" si="3"/>
        <v>1</v>
      </c>
      <c r="E86" s="1" t="s">
        <v>5</v>
      </c>
      <c r="F86" s="1" t="s">
        <v>20</v>
      </c>
      <c r="G86">
        <v>47186</v>
      </c>
      <c r="H86">
        <v>100084</v>
      </c>
      <c r="I86" s="4"/>
      <c r="J86" s="22">
        <v>0.47152777777777777</v>
      </c>
      <c r="K86" s="22">
        <v>0.80902777777777779</v>
      </c>
      <c r="L86" s="4"/>
      <c r="M86" s="4"/>
      <c r="N86" t="s">
        <v>960</v>
      </c>
      <c r="O86" s="4"/>
      <c r="P86" t="s">
        <v>129</v>
      </c>
      <c r="Q86">
        <v>2</v>
      </c>
    </row>
    <row r="87" spans="1:17" ht="14.25" customHeight="1" x14ac:dyDescent="0.25">
      <c r="A87" s="4"/>
      <c r="B87" s="21">
        <v>44199</v>
      </c>
      <c r="C87" s="5">
        <f t="shared" si="2"/>
        <v>2</v>
      </c>
      <c r="D87" s="5">
        <f t="shared" si="3"/>
        <v>1</v>
      </c>
      <c r="E87" s="1" t="s">
        <v>5</v>
      </c>
      <c r="F87" s="1" t="s">
        <v>17</v>
      </c>
      <c r="G87">
        <v>47186</v>
      </c>
      <c r="H87">
        <v>100084</v>
      </c>
      <c r="I87" s="4"/>
      <c r="J87" s="22">
        <v>0.32222222222222224</v>
      </c>
      <c r="K87" s="22">
        <v>0.52430555555555558</v>
      </c>
      <c r="L87" s="4"/>
      <c r="M87" s="4"/>
      <c r="N87" t="s">
        <v>961</v>
      </c>
      <c r="O87" s="4"/>
      <c r="P87" t="s">
        <v>130</v>
      </c>
      <c r="Q87">
        <v>22</v>
      </c>
    </row>
    <row r="88" spans="1:17" ht="14.25" customHeight="1" x14ac:dyDescent="0.25">
      <c r="A88" s="4"/>
      <c r="B88" s="21">
        <v>44199</v>
      </c>
      <c r="C88" s="5">
        <f t="shared" si="2"/>
        <v>2</v>
      </c>
      <c r="D88" s="5">
        <f t="shared" si="3"/>
        <v>1</v>
      </c>
      <c r="E88" s="1" t="s">
        <v>5</v>
      </c>
      <c r="F88" s="1" t="s">
        <v>20</v>
      </c>
      <c r="G88">
        <v>47188</v>
      </c>
      <c r="H88">
        <v>100085</v>
      </c>
      <c r="I88" s="4"/>
      <c r="J88" s="22">
        <v>0.26319444444444445</v>
      </c>
      <c r="K88" s="22">
        <v>0.30902777777777779</v>
      </c>
      <c r="L88" s="4"/>
      <c r="M88" s="4"/>
      <c r="N88" t="s">
        <v>962</v>
      </c>
      <c r="O88" s="4"/>
      <c r="P88" t="s">
        <v>131</v>
      </c>
      <c r="Q88">
        <v>6</v>
      </c>
    </row>
    <row r="89" spans="1:17" ht="14.25" customHeight="1" x14ac:dyDescent="0.25">
      <c r="A89" s="4"/>
      <c r="B89" s="21">
        <v>44199</v>
      </c>
      <c r="C89" s="5">
        <f t="shared" si="2"/>
        <v>2</v>
      </c>
      <c r="D89" s="5">
        <f t="shared" si="3"/>
        <v>1</v>
      </c>
      <c r="E89" s="1" t="s">
        <v>6</v>
      </c>
      <c r="F89" s="1" t="s">
        <v>12</v>
      </c>
      <c r="G89">
        <v>47188</v>
      </c>
      <c r="H89">
        <v>100085</v>
      </c>
      <c r="I89" s="4"/>
      <c r="J89" s="22">
        <v>0.31666666666666665</v>
      </c>
      <c r="K89" s="22">
        <v>0.20625000000000002</v>
      </c>
      <c r="L89" s="4"/>
      <c r="M89" s="4"/>
      <c r="N89" t="s">
        <v>963</v>
      </c>
      <c r="O89" s="4"/>
      <c r="P89" t="s">
        <v>132</v>
      </c>
      <c r="Q89">
        <v>30</v>
      </c>
    </row>
    <row r="90" spans="1:17" ht="14.25" customHeight="1" x14ac:dyDescent="0.25">
      <c r="A90" s="4"/>
      <c r="B90" s="21">
        <v>44199</v>
      </c>
      <c r="C90" s="5">
        <f t="shared" si="2"/>
        <v>2</v>
      </c>
      <c r="D90" s="5">
        <f t="shared" si="3"/>
        <v>1</v>
      </c>
      <c r="E90" s="1" t="s">
        <v>5</v>
      </c>
      <c r="F90" s="1" t="s">
        <v>20</v>
      </c>
      <c r="G90">
        <v>47188</v>
      </c>
      <c r="H90">
        <v>100086</v>
      </c>
      <c r="I90" s="4"/>
      <c r="J90" s="22">
        <v>0.25138888888888888</v>
      </c>
      <c r="K90" s="22">
        <v>3.0555555555555555E-2</v>
      </c>
      <c r="L90" s="4"/>
      <c r="M90" s="4"/>
      <c r="N90" t="s">
        <v>964</v>
      </c>
      <c r="O90" s="4"/>
      <c r="P90" t="s">
        <v>133</v>
      </c>
      <c r="Q90">
        <v>8</v>
      </c>
    </row>
    <row r="91" spans="1:17" ht="14.25" customHeight="1" x14ac:dyDescent="0.25">
      <c r="A91" s="4"/>
      <c r="B91" s="21">
        <v>44199</v>
      </c>
      <c r="C91" s="5">
        <f t="shared" si="2"/>
        <v>2</v>
      </c>
      <c r="D91" s="5">
        <f t="shared" si="3"/>
        <v>1</v>
      </c>
      <c r="E91" s="1" t="s">
        <v>5</v>
      </c>
      <c r="F91" s="1" t="s">
        <v>17</v>
      </c>
      <c r="G91">
        <v>47189</v>
      </c>
      <c r="H91">
        <v>100086</v>
      </c>
      <c r="I91" s="4"/>
      <c r="J91" s="22">
        <v>0.31597222222222221</v>
      </c>
      <c r="K91" s="22">
        <v>0.49652777777777773</v>
      </c>
      <c r="L91" s="4"/>
      <c r="M91" s="4"/>
      <c r="N91" t="s">
        <v>965</v>
      </c>
      <c r="O91" s="4"/>
      <c r="P91" t="s">
        <v>134</v>
      </c>
      <c r="Q91">
        <v>13</v>
      </c>
    </row>
    <row r="92" spans="1:17" ht="14.25" customHeight="1" x14ac:dyDescent="0.25">
      <c r="A92" s="4"/>
      <c r="B92" s="21">
        <v>44199</v>
      </c>
      <c r="C92" s="5">
        <f t="shared" si="2"/>
        <v>2</v>
      </c>
      <c r="D92" s="5">
        <f t="shared" si="3"/>
        <v>1</v>
      </c>
      <c r="E92" s="1" t="s">
        <v>5</v>
      </c>
      <c r="F92" s="1" t="s">
        <v>19</v>
      </c>
      <c r="G92">
        <v>47191</v>
      </c>
      <c r="H92">
        <v>100088</v>
      </c>
      <c r="I92" s="4"/>
      <c r="J92" s="22">
        <v>0.38541666666666669</v>
      </c>
      <c r="K92" s="22">
        <v>0.53611111111111109</v>
      </c>
      <c r="L92" s="4"/>
      <c r="M92" s="4"/>
      <c r="N92" t="s">
        <v>966</v>
      </c>
      <c r="O92" s="4"/>
      <c r="P92" t="s">
        <v>135</v>
      </c>
      <c r="Q92">
        <v>12</v>
      </c>
    </row>
    <row r="93" spans="1:17" ht="14.25" customHeight="1" x14ac:dyDescent="0.25">
      <c r="A93" s="4"/>
      <c r="B93" s="21">
        <v>44199</v>
      </c>
      <c r="C93" s="5">
        <f t="shared" si="2"/>
        <v>2</v>
      </c>
      <c r="D93" s="5">
        <f t="shared" si="3"/>
        <v>1</v>
      </c>
      <c r="E93" s="1" t="s">
        <v>6</v>
      </c>
      <c r="F93" s="1" t="s">
        <v>11</v>
      </c>
      <c r="G93">
        <v>47193</v>
      </c>
      <c r="H93">
        <v>100090</v>
      </c>
      <c r="I93" s="4"/>
      <c r="J93" s="22">
        <v>0.43541666666666662</v>
      </c>
      <c r="K93" s="22">
        <v>0.31597222222222221</v>
      </c>
      <c r="L93" s="4"/>
      <c r="M93" s="4"/>
      <c r="N93" t="s">
        <v>967</v>
      </c>
      <c r="O93" s="4"/>
      <c r="P93" t="s">
        <v>136</v>
      </c>
      <c r="Q93">
        <v>13</v>
      </c>
    </row>
    <row r="94" spans="1:17" ht="14.25" customHeight="1" x14ac:dyDescent="0.25">
      <c r="A94" s="4"/>
      <c r="B94" s="21">
        <v>44199</v>
      </c>
      <c r="C94" s="5">
        <f t="shared" si="2"/>
        <v>2</v>
      </c>
      <c r="D94" s="5">
        <f t="shared" si="3"/>
        <v>1</v>
      </c>
      <c r="E94" s="1" t="s">
        <v>6</v>
      </c>
      <c r="F94" s="1" t="s">
        <v>13</v>
      </c>
      <c r="G94">
        <v>47193</v>
      </c>
      <c r="H94">
        <v>100091</v>
      </c>
      <c r="I94" s="4"/>
      <c r="J94" s="22">
        <v>0.42083333333333334</v>
      </c>
      <c r="K94" s="22">
        <v>1.9444444444444445E-2</v>
      </c>
      <c r="L94" s="4"/>
      <c r="M94" s="4"/>
      <c r="N94" t="s">
        <v>968</v>
      </c>
      <c r="O94" s="4"/>
      <c r="P94" t="s">
        <v>137</v>
      </c>
      <c r="Q94">
        <v>25</v>
      </c>
    </row>
    <row r="95" spans="1:17" ht="14.25" customHeight="1" x14ac:dyDescent="0.25">
      <c r="A95" s="4"/>
      <c r="B95" s="21">
        <v>44199</v>
      </c>
      <c r="C95" s="5">
        <f t="shared" si="2"/>
        <v>2</v>
      </c>
      <c r="D95" s="5">
        <f t="shared" si="3"/>
        <v>1</v>
      </c>
      <c r="E95" s="1" t="s">
        <v>5</v>
      </c>
      <c r="F95" s="1" t="s">
        <v>18</v>
      </c>
      <c r="G95">
        <v>47193</v>
      </c>
      <c r="H95">
        <v>100092</v>
      </c>
      <c r="I95" s="4"/>
      <c r="J95" s="22">
        <v>0.4777777777777778</v>
      </c>
      <c r="K95" s="22">
        <v>0.41875000000000001</v>
      </c>
      <c r="L95" s="4"/>
      <c r="M95" s="4"/>
      <c r="N95" t="s">
        <v>969</v>
      </c>
      <c r="O95" s="4"/>
      <c r="P95" t="s">
        <v>138</v>
      </c>
      <c r="Q95">
        <v>19</v>
      </c>
    </row>
    <row r="96" spans="1:17" ht="14.25" customHeight="1" x14ac:dyDescent="0.25">
      <c r="A96" s="4"/>
      <c r="B96" s="21">
        <v>44199</v>
      </c>
      <c r="C96" s="5">
        <f t="shared" si="2"/>
        <v>2</v>
      </c>
      <c r="D96" s="5">
        <f t="shared" si="3"/>
        <v>1</v>
      </c>
      <c r="E96" s="1" t="s">
        <v>5</v>
      </c>
      <c r="F96" s="1" t="s">
        <v>18</v>
      </c>
      <c r="G96">
        <v>47195</v>
      </c>
      <c r="H96">
        <v>100095</v>
      </c>
      <c r="I96" s="4"/>
      <c r="J96" s="22">
        <v>0.44861111111111113</v>
      </c>
      <c r="K96" s="22">
        <v>0.94305555555555554</v>
      </c>
      <c r="L96" s="4"/>
      <c r="M96" s="4"/>
      <c r="N96" t="s">
        <v>970</v>
      </c>
      <c r="O96" s="4"/>
      <c r="P96" t="s">
        <v>139</v>
      </c>
      <c r="Q96">
        <v>12</v>
      </c>
    </row>
    <row r="97" spans="1:17" ht="14.25" customHeight="1" x14ac:dyDescent="0.25">
      <c r="A97" s="4"/>
      <c r="B97" s="21">
        <v>44200</v>
      </c>
      <c r="C97" s="5">
        <f t="shared" si="2"/>
        <v>2</v>
      </c>
      <c r="D97" s="5">
        <f t="shared" si="3"/>
        <v>2</v>
      </c>
      <c r="E97" s="1" t="s">
        <v>6</v>
      </c>
      <c r="F97" s="1" t="s">
        <v>11</v>
      </c>
      <c r="G97">
        <v>47195</v>
      </c>
      <c r="H97">
        <v>100095</v>
      </c>
      <c r="I97" s="4"/>
      <c r="J97" s="22">
        <v>0.45555555555555555</v>
      </c>
      <c r="K97" s="22">
        <v>0.2638888888888889</v>
      </c>
      <c r="L97" s="4"/>
      <c r="M97" s="4"/>
      <c r="N97" t="s">
        <v>971</v>
      </c>
      <c r="O97" s="4"/>
      <c r="P97" t="s">
        <v>140</v>
      </c>
      <c r="Q97">
        <v>5</v>
      </c>
    </row>
    <row r="98" spans="1:17" ht="14.25" customHeight="1" x14ac:dyDescent="0.25">
      <c r="A98" s="4"/>
      <c r="B98" s="21">
        <v>44200</v>
      </c>
      <c r="C98" s="5">
        <f t="shared" si="2"/>
        <v>2</v>
      </c>
      <c r="D98" s="5">
        <f t="shared" si="3"/>
        <v>2</v>
      </c>
      <c r="E98" s="1" t="s">
        <v>5</v>
      </c>
      <c r="F98" s="1" t="s">
        <v>17</v>
      </c>
      <c r="G98">
        <v>47195</v>
      </c>
      <c r="H98">
        <v>100096</v>
      </c>
      <c r="I98" s="4"/>
      <c r="J98" s="22">
        <v>0.41666666666666669</v>
      </c>
      <c r="K98" s="22">
        <v>0.18333333333333335</v>
      </c>
      <c r="L98" s="4"/>
      <c r="M98" s="4"/>
      <c r="N98" t="s">
        <v>972</v>
      </c>
      <c r="O98" s="4"/>
      <c r="P98" t="s">
        <v>141</v>
      </c>
      <c r="Q98">
        <v>31</v>
      </c>
    </row>
    <row r="99" spans="1:17" ht="14.25" customHeight="1" x14ac:dyDescent="0.25">
      <c r="A99" s="4"/>
      <c r="B99" s="21">
        <v>44200</v>
      </c>
      <c r="C99" s="5">
        <f t="shared" si="2"/>
        <v>2</v>
      </c>
      <c r="D99" s="5">
        <f t="shared" si="3"/>
        <v>2</v>
      </c>
      <c r="E99" s="1" t="s">
        <v>5</v>
      </c>
      <c r="F99" s="1" t="s">
        <v>18</v>
      </c>
      <c r="G99">
        <v>47196</v>
      </c>
      <c r="H99">
        <v>100096</v>
      </c>
      <c r="I99" s="4"/>
      <c r="J99" s="22">
        <v>0.42291666666666666</v>
      </c>
      <c r="K99" s="22">
        <v>0.43124999999999997</v>
      </c>
      <c r="L99" s="4"/>
      <c r="M99" s="4"/>
      <c r="N99" t="s">
        <v>973</v>
      </c>
      <c r="O99" s="4"/>
      <c r="P99" t="s">
        <v>142</v>
      </c>
      <c r="Q99">
        <v>1</v>
      </c>
    </row>
    <row r="100" spans="1:17" ht="14.25" customHeight="1" x14ac:dyDescent="0.25">
      <c r="A100" s="4"/>
      <c r="B100" s="21">
        <v>44200</v>
      </c>
      <c r="C100" s="5">
        <f t="shared" si="2"/>
        <v>2</v>
      </c>
      <c r="D100" s="5">
        <f t="shared" si="3"/>
        <v>2</v>
      </c>
      <c r="E100" s="1" t="s">
        <v>7</v>
      </c>
      <c r="F100" s="1" t="s">
        <v>15</v>
      </c>
      <c r="G100">
        <v>47196</v>
      </c>
      <c r="H100">
        <v>100097</v>
      </c>
      <c r="I100" s="4"/>
      <c r="J100" s="22">
        <v>0.32430555555555557</v>
      </c>
      <c r="K100" s="22">
        <v>5.1388888888888894E-2</v>
      </c>
      <c r="L100" s="4"/>
      <c r="M100" s="4"/>
      <c r="N100" t="s">
        <v>974</v>
      </c>
      <c r="O100" s="4"/>
      <c r="P100" t="s">
        <v>121</v>
      </c>
      <c r="Q100">
        <v>24</v>
      </c>
    </row>
    <row r="101" spans="1:17" ht="14.25" customHeight="1" x14ac:dyDescent="0.25">
      <c r="A101" s="4"/>
      <c r="B101" s="21">
        <v>44200</v>
      </c>
      <c r="C101" s="5">
        <f t="shared" si="2"/>
        <v>2</v>
      </c>
      <c r="D101" s="5">
        <f t="shared" si="3"/>
        <v>2</v>
      </c>
      <c r="E101" s="1" t="s">
        <v>6</v>
      </c>
      <c r="F101" s="1" t="s">
        <v>12</v>
      </c>
      <c r="G101">
        <v>47197</v>
      </c>
      <c r="H101">
        <v>100097</v>
      </c>
      <c r="I101" s="5"/>
      <c r="J101" s="22">
        <v>0.39583333333333331</v>
      </c>
      <c r="K101" s="22">
        <v>0.87847222222222221</v>
      </c>
      <c r="L101" s="4"/>
      <c r="M101" s="4"/>
      <c r="N101" t="s">
        <v>975</v>
      </c>
      <c r="O101" s="4"/>
      <c r="P101" t="s">
        <v>143</v>
      </c>
      <c r="Q101">
        <v>6</v>
      </c>
    </row>
    <row r="102" spans="1:17" ht="14.25" customHeight="1" x14ac:dyDescent="0.25">
      <c r="A102" s="4"/>
      <c r="B102" s="21">
        <v>44200</v>
      </c>
      <c r="C102" s="5">
        <f t="shared" si="2"/>
        <v>2</v>
      </c>
      <c r="D102" s="5">
        <f t="shared" si="3"/>
        <v>2</v>
      </c>
      <c r="E102" s="1" t="s">
        <v>5</v>
      </c>
      <c r="F102" s="1" t="s">
        <v>17</v>
      </c>
      <c r="G102">
        <v>47197</v>
      </c>
      <c r="H102">
        <v>100097</v>
      </c>
      <c r="I102" s="4"/>
      <c r="J102" s="22">
        <v>0.29305555555555557</v>
      </c>
      <c r="K102" s="22">
        <v>0.44027777777777777</v>
      </c>
      <c r="L102" s="4"/>
      <c r="M102" s="4"/>
      <c r="N102" t="s">
        <v>976</v>
      </c>
      <c r="O102" s="4"/>
      <c r="P102" t="s">
        <v>144</v>
      </c>
      <c r="Q102">
        <v>21</v>
      </c>
    </row>
    <row r="103" spans="1:17" ht="14.25" customHeight="1" x14ac:dyDescent="0.25">
      <c r="A103" s="4"/>
      <c r="B103" s="21">
        <v>44200</v>
      </c>
      <c r="C103" s="5">
        <f t="shared" si="2"/>
        <v>2</v>
      </c>
      <c r="D103" s="5">
        <f t="shared" si="3"/>
        <v>2</v>
      </c>
      <c r="E103" s="1" t="s">
        <v>5</v>
      </c>
      <c r="F103" s="1" t="s">
        <v>19</v>
      </c>
      <c r="G103">
        <v>47199</v>
      </c>
      <c r="H103">
        <v>100099</v>
      </c>
      <c r="I103" s="4"/>
      <c r="J103" s="22">
        <v>0.3666666666666667</v>
      </c>
      <c r="K103" s="22">
        <v>0.96944444444444444</v>
      </c>
      <c r="L103" s="4"/>
      <c r="M103" s="4"/>
      <c r="N103" t="s">
        <v>977</v>
      </c>
      <c r="O103" s="4"/>
      <c r="P103" t="s">
        <v>145</v>
      </c>
      <c r="Q103">
        <v>4</v>
      </c>
    </row>
    <row r="104" spans="1:17" ht="14.25" customHeight="1" x14ac:dyDescent="0.25">
      <c r="A104" s="4"/>
      <c r="B104" s="21">
        <v>44200</v>
      </c>
      <c r="C104" s="5">
        <f t="shared" si="2"/>
        <v>2</v>
      </c>
      <c r="D104" s="5">
        <f t="shared" si="3"/>
        <v>2</v>
      </c>
      <c r="E104" s="1" t="s">
        <v>5</v>
      </c>
      <c r="F104" s="1" t="s">
        <v>19</v>
      </c>
      <c r="G104">
        <v>47199</v>
      </c>
      <c r="H104">
        <v>100100</v>
      </c>
      <c r="I104" s="4"/>
      <c r="J104" s="22">
        <v>0.36944444444444446</v>
      </c>
      <c r="K104" s="22">
        <v>0.91249999999999998</v>
      </c>
      <c r="L104" s="4"/>
      <c r="M104" s="4"/>
      <c r="N104" t="s">
        <v>978</v>
      </c>
      <c r="O104" s="4"/>
      <c r="P104" t="s">
        <v>146</v>
      </c>
      <c r="Q104">
        <v>33</v>
      </c>
    </row>
    <row r="105" spans="1:17" ht="14.25" customHeight="1" x14ac:dyDescent="0.25">
      <c r="A105" s="4"/>
      <c r="B105" s="21">
        <v>44200</v>
      </c>
      <c r="C105" s="5">
        <f t="shared" si="2"/>
        <v>2</v>
      </c>
      <c r="D105" s="5">
        <f t="shared" si="3"/>
        <v>2</v>
      </c>
      <c r="E105" s="1" t="s">
        <v>6</v>
      </c>
      <c r="F105" s="1" t="s">
        <v>12</v>
      </c>
      <c r="G105">
        <v>47200</v>
      </c>
      <c r="H105">
        <v>100100</v>
      </c>
      <c r="I105" s="4"/>
      <c r="J105" s="22">
        <v>0.35347222222222219</v>
      </c>
      <c r="K105" s="22">
        <v>0.49791666666666662</v>
      </c>
      <c r="L105" s="4"/>
      <c r="M105" s="4"/>
      <c r="N105" t="s">
        <v>979</v>
      </c>
      <c r="O105" s="4"/>
      <c r="P105" t="s">
        <v>147</v>
      </c>
      <c r="Q105">
        <v>6</v>
      </c>
    </row>
    <row r="106" spans="1:17" ht="14.25" customHeight="1" x14ac:dyDescent="0.25">
      <c r="A106" s="4"/>
      <c r="B106" s="21">
        <v>44200</v>
      </c>
      <c r="C106" s="5">
        <f t="shared" si="2"/>
        <v>2</v>
      </c>
      <c r="D106" s="5">
        <f t="shared" si="3"/>
        <v>2</v>
      </c>
      <c r="E106" s="1" t="s">
        <v>6</v>
      </c>
      <c r="F106" s="1" t="s">
        <v>11</v>
      </c>
      <c r="G106">
        <v>47201</v>
      </c>
      <c r="H106">
        <v>100101</v>
      </c>
      <c r="I106" s="4"/>
      <c r="J106" s="22">
        <v>0.43611111111111112</v>
      </c>
      <c r="K106" s="22">
        <v>0.2673611111111111</v>
      </c>
      <c r="L106" s="4"/>
      <c r="M106" s="4"/>
      <c r="N106" t="s">
        <v>980</v>
      </c>
      <c r="O106" s="4"/>
      <c r="P106" t="s">
        <v>148</v>
      </c>
      <c r="Q106">
        <v>13</v>
      </c>
    </row>
    <row r="107" spans="1:17" ht="14.25" customHeight="1" x14ac:dyDescent="0.25">
      <c r="A107" s="4"/>
      <c r="B107" s="21">
        <v>44200</v>
      </c>
      <c r="C107" s="5">
        <f t="shared" si="2"/>
        <v>2</v>
      </c>
      <c r="D107" s="5">
        <f t="shared" si="3"/>
        <v>2</v>
      </c>
      <c r="E107" s="1" t="s">
        <v>7</v>
      </c>
      <c r="F107" s="1" t="s">
        <v>15</v>
      </c>
      <c r="G107">
        <v>47201</v>
      </c>
      <c r="H107">
        <v>100102</v>
      </c>
      <c r="I107" s="4"/>
      <c r="J107" s="22">
        <v>0.41875000000000001</v>
      </c>
      <c r="K107" s="22">
        <v>0.18124999999999999</v>
      </c>
      <c r="L107" s="4"/>
      <c r="M107" s="4"/>
      <c r="N107" t="s">
        <v>981</v>
      </c>
      <c r="O107" s="4"/>
      <c r="P107" t="s">
        <v>149</v>
      </c>
      <c r="Q107">
        <v>19</v>
      </c>
    </row>
    <row r="108" spans="1:17" ht="14.25" customHeight="1" x14ac:dyDescent="0.25">
      <c r="A108" s="4"/>
      <c r="B108" s="21">
        <v>44200</v>
      </c>
      <c r="C108" s="5">
        <f t="shared" si="2"/>
        <v>2</v>
      </c>
      <c r="D108" s="5">
        <f t="shared" si="3"/>
        <v>2</v>
      </c>
      <c r="E108" s="1" t="s">
        <v>5</v>
      </c>
      <c r="F108" s="1" t="s">
        <v>20</v>
      </c>
      <c r="G108">
        <v>47202</v>
      </c>
      <c r="H108">
        <v>100103</v>
      </c>
      <c r="I108" s="4"/>
      <c r="J108" s="22">
        <v>0.46875</v>
      </c>
      <c r="K108" s="22">
        <v>0.13402777777777777</v>
      </c>
      <c r="L108" s="4"/>
      <c r="M108" s="4"/>
      <c r="N108" t="s">
        <v>982</v>
      </c>
      <c r="O108" s="4"/>
      <c r="P108" t="s">
        <v>150</v>
      </c>
      <c r="Q108">
        <v>29</v>
      </c>
    </row>
    <row r="109" spans="1:17" ht="14.25" customHeight="1" x14ac:dyDescent="0.25">
      <c r="A109" s="4"/>
      <c r="B109" s="21">
        <v>44200</v>
      </c>
      <c r="C109" s="5">
        <f t="shared" si="2"/>
        <v>2</v>
      </c>
      <c r="D109" s="5">
        <f t="shared" si="3"/>
        <v>2</v>
      </c>
      <c r="E109" s="1" t="s">
        <v>6</v>
      </c>
      <c r="F109" s="1" t="s">
        <v>12</v>
      </c>
      <c r="G109">
        <v>47203</v>
      </c>
      <c r="H109">
        <v>100104</v>
      </c>
      <c r="I109" s="4"/>
      <c r="J109" s="22">
        <v>0.48749999999999999</v>
      </c>
      <c r="K109" s="22">
        <v>0.72638888888888886</v>
      </c>
      <c r="L109" s="4"/>
      <c r="M109" s="4"/>
      <c r="N109" t="s">
        <v>983</v>
      </c>
      <c r="O109" s="4"/>
      <c r="P109" t="s">
        <v>151</v>
      </c>
      <c r="Q109">
        <v>7</v>
      </c>
    </row>
    <row r="110" spans="1:17" ht="14.25" customHeight="1" x14ac:dyDescent="0.25">
      <c r="A110" s="4"/>
      <c r="B110" s="21">
        <v>44200</v>
      </c>
      <c r="C110" s="5">
        <f t="shared" si="2"/>
        <v>2</v>
      </c>
      <c r="D110" s="5">
        <f t="shared" si="3"/>
        <v>2</v>
      </c>
      <c r="E110" s="1" t="s">
        <v>5</v>
      </c>
      <c r="F110" s="1" t="s">
        <v>18</v>
      </c>
      <c r="G110">
        <v>47205</v>
      </c>
      <c r="H110">
        <v>100105</v>
      </c>
      <c r="I110" s="4"/>
      <c r="J110" s="22">
        <v>0.34722222222222227</v>
      </c>
      <c r="K110" s="22">
        <v>0.31875000000000003</v>
      </c>
      <c r="L110" s="4"/>
      <c r="M110" s="4"/>
      <c r="N110" t="s">
        <v>984</v>
      </c>
      <c r="O110" s="4"/>
      <c r="P110" t="s">
        <v>152</v>
      </c>
      <c r="Q110">
        <v>19</v>
      </c>
    </row>
    <row r="111" spans="1:17" ht="14.25" customHeight="1" x14ac:dyDescent="0.25">
      <c r="A111" s="4"/>
      <c r="B111" s="21">
        <v>44200</v>
      </c>
      <c r="C111" s="5">
        <f t="shared" si="2"/>
        <v>2</v>
      </c>
      <c r="D111" s="5">
        <f t="shared" si="3"/>
        <v>2</v>
      </c>
      <c r="E111" s="1" t="s">
        <v>6</v>
      </c>
      <c r="F111" s="1" t="s">
        <v>12</v>
      </c>
      <c r="G111">
        <v>47209</v>
      </c>
      <c r="H111">
        <v>100106</v>
      </c>
      <c r="I111" s="4"/>
      <c r="J111" s="22">
        <v>0.49027777777777781</v>
      </c>
      <c r="K111" s="22">
        <v>0.7631944444444444</v>
      </c>
      <c r="L111" s="4"/>
      <c r="M111" s="4"/>
      <c r="N111" t="s">
        <v>985</v>
      </c>
      <c r="O111" s="4"/>
      <c r="P111" t="s">
        <v>153</v>
      </c>
      <c r="Q111">
        <v>24</v>
      </c>
    </row>
    <row r="112" spans="1:17" ht="14.25" customHeight="1" x14ac:dyDescent="0.25">
      <c r="A112" s="4"/>
      <c r="B112" s="21">
        <v>44200</v>
      </c>
      <c r="C112" s="5">
        <f t="shared" si="2"/>
        <v>2</v>
      </c>
      <c r="D112" s="5">
        <f t="shared" si="3"/>
        <v>2</v>
      </c>
      <c r="E112" s="1" t="s">
        <v>7</v>
      </c>
      <c r="F112" s="1" t="s">
        <v>15</v>
      </c>
      <c r="G112">
        <v>47211</v>
      </c>
      <c r="H112">
        <v>100106</v>
      </c>
      <c r="I112" s="4"/>
      <c r="J112" s="22">
        <v>0.26041666666666669</v>
      </c>
      <c r="K112" s="22">
        <v>0.4993055555555555</v>
      </c>
      <c r="L112" s="4"/>
      <c r="M112" s="4"/>
      <c r="N112" t="s">
        <v>986</v>
      </c>
      <c r="O112" s="4"/>
      <c r="P112" t="s">
        <v>154</v>
      </c>
      <c r="Q112">
        <v>15</v>
      </c>
    </row>
    <row r="113" spans="1:17" ht="14.25" customHeight="1" x14ac:dyDescent="0.25">
      <c r="A113" s="4"/>
      <c r="B113" s="21">
        <v>44200</v>
      </c>
      <c r="C113" s="5">
        <f t="shared" si="2"/>
        <v>2</v>
      </c>
      <c r="D113" s="5">
        <f t="shared" si="3"/>
        <v>2</v>
      </c>
      <c r="E113" s="1" t="s">
        <v>7</v>
      </c>
      <c r="F113" s="1" t="s">
        <v>16</v>
      </c>
      <c r="G113">
        <v>47211</v>
      </c>
      <c r="H113">
        <v>100106</v>
      </c>
      <c r="I113" s="4"/>
      <c r="J113" s="22">
        <v>0.26805555555555555</v>
      </c>
      <c r="K113" s="22">
        <v>0.6777777777777777</v>
      </c>
      <c r="L113" s="4"/>
      <c r="M113" s="4"/>
      <c r="N113" t="s">
        <v>987</v>
      </c>
      <c r="O113" s="4"/>
      <c r="P113" t="s">
        <v>155</v>
      </c>
      <c r="Q113">
        <v>15</v>
      </c>
    </row>
    <row r="114" spans="1:17" ht="14.25" customHeight="1" x14ac:dyDescent="0.25">
      <c r="A114" s="4"/>
      <c r="B114" s="21">
        <v>44200</v>
      </c>
      <c r="C114" s="5">
        <f t="shared" si="2"/>
        <v>2</v>
      </c>
      <c r="D114" s="5">
        <f t="shared" si="3"/>
        <v>2</v>
      </c>
      <c r="E114" s="1" t="s">
        <v>5</v>
      </c>
      <c r="F114" s="1" t="s">
        <v>17</v>
      </c>
      <c r="G114">
        <v>47212</v>
      </c>
      <c r="H114">
        <v>100107</v>
      </c>
      <c r="I114" s="4"/>
      <c r="J114" s="22">
        <v>0.28472222222222221</v>
      </c>
      <c r="K114" s="22">
        <v>0.25</v>
      </c>
      <c r="L114" s="4"/>
      <c r="M114" s="4"/>
      <c r="N114" t="s">
        <v>988</v>
      </c>
      <c r="O114" s="4"/>
      <c r="P114" t="s">
        <v>156</v>
      </c>
      <c r="Q114">
        <v>8</v>
      </c>
    </row>
    <row r="115" spans="1:17" ht="14.25" customHeight="1" x14ac:dyDescent="0.25">
      <c r="A115" s="4"/>
      <c r="B115" s="21">
        <v>44200</v>
      </c>
      <c r="C115" s="5">
        <f t="shared" si="2"/>
        <v>2</v>
      </c>
      <c r="D115" s="5">
        <f t="shared" si="3"/>
        <v>2</v>
      </c>
      <c r="E115" s="1" t="s">
        <v>6</v>
      </c>
      <c r="F115" s="1" t="s">
        <v>12</v>
      </c>
      <c r="G115">
        <v>47213</v>
      </c>
      <c r="H115">
        <v>100108</v>
      </c>
      <c r="I115" s="4"/>
      <c r="J115" s="22">
        <v>0.25138888888888888</v>
      </c>
      <c r="K115" s="22">
        <v>0.52638888888888891</v>
      </c>
      <c r="L115" s="4"/>
      <c r="M115" s="4"/>
      <c r="N115" t="s">
        <v>989</v>
      </c>
      <c r="O115" s="4"/>
      <c r="P115" t="s">
        <v>157</v>
      </c>
      <c r="Q115">
        <v>29</v>
      </c>
    </row>
    <row r="116" spans="1:17" ht="14.25" customHeight="1" x14ac:dyDescent="0.25">
      <c r="A116" s="4"/>
      <c r="B116" s="21">
        <v>44200</v>
      </c>
      <c r="C116" s="5">
        <f t="shared" si="2"/>
        <v>2</v>
      </c>
      <c r="D116" s="5">
        <f t="shared" si="3"/>
        <v>2</v>
      </c>
      <c r="E116" s="1" t="s">
        <v>6</v>
      </c>
      <c r="F116" s="1" t="s">
        <v>13</v>
      </c>
      <c r="G116">
        <v>47214</v>
      </c>
      <c r="H116">
        <v>100108</v>
      </c>
      <c r="I116" s="4"/>
      <c r="J116" s="22">
        <v>0.43055555555555558</v>
      </c>
      <c r="K116" s="22">
        <v>0.48125000000000001</v>
      </c>
      <c r="L116" s="4"/>
      <c r="M116" s="4"/>
      <c r="N116" t="s">
        <v>990</v>
      </c>
      <c r="O116" s="4"/>
      <c r="P116" t="s">
        <v>158</v>
      </c>
      <c r="Q116">
        <v>13</v>
      </c>
    </row>
    <row r="117" spans="1:17" ht="14.25" customHeight="1" x14ac:dyDescent="0.25">
      <c r="A117" s="4"/>
      <c r="B117" s="21">
        <v>44200</v>
      </c>
      <c r="C117" s="5">
        <f t="shared" si="2"/>
        <v>2</v>
      </c>
      <c r="D117" s="5">
        <f t="shared" si="3"/>
        <v>2</v>
      </c>
      <c r="E117" s="1" t="s">
        <v>6</v>
      </c>
      <c r="F117" s="1" t="s">
        <v>11</v>
      </c>
      <c r="G117">
        <v>47214</v>
      </c>
      <c r="H117">
        <v>100109</v>
      </c>
      <c r="I117" s="4"/>
      <c r="J117" s="22">
        <v>0.25347222222222221</v>
      </c>
      <c r="K117" s="22">
        <v>0.73333333333333339</v>
      </c>
      <c r="L117" s="4"/>
      <c r="M117" s="4"/>
      <c r="N117" t="s">
        <v>991</v>
      </c>
      <c r="O117" s="4"/>
      <c r="P117" t="s">
        <v>159</v>
      </c>
      <c r="Q117">
        <v>5</v>
      </c>
    </row>
    <row r="118" spans="1:17" ht="14.25" customHeight="1" x14ac:dyDescent="0.25">
      <c r="A118" s="4"/>
      <c r="B118" s="21">
        <v>44200</v>
      </c>
      <c r="C118" s="5">
        <f t="shared" si="2"/>
        <v>2</v>
      </c>
      <c r="D118" s="5">
        <f t="shared" si="3"/>
        <v>2</v>
      </c>
      <c r="E118" s="1" t="s">
        <v>7</v>
      </c>
      <c r="F118" s="1" t="s">
        <v>15</v>
      </c>
      <c r="G118">
        <v>47216</v>
      </c>
      <c r="H118">
        <v>100109</v>
      </c>
      <c r="I118" s="4"/>
      <c r="J118" s="22">
        <v>0.35347222222222219</v>
      </c>
      <c r="K118" s="22">
        <v>0.68541666666666667</v>
      </c>
      <c r="L118" s="4"/>
      <c r="M118" s="4"/>
      <c r="N118" t="s">
        <v>992</v>
      </c>
      <c r="O118" s="4"/>
      <c r="P118" t="s">
        <v>160</v>
      </c>
      <c r="Q118">
        <v>27</v>
      </c>
    </row>
    <row r="119" spans="1:17" ht="14.25" customHeight="1" x14ac:dyDescent="0.25">
      <c r="A119" s="4"/>
      <c r="B119" s="21">
        <v>44200</v>
      </c>
      <c r="C119" s="5">
        <f t="shared" si="2"/>
        <v>2</v>
      </c>
      <c r="D119" s="5">
        <f t="shared" si="3"/>
        <v>2</v>
      </c>
      <c r="E119" s="1" t="s">
        <v>6</v>
      </c>
      <c r="F119" s="1" t="s">
        <v>11</v>
      </c>
      <c r="G119">
        <v>47216</v>
      </c>
      <c r="H119">
        <v>100109</v>
      </c>
      <c r="I119" s="4"/>
      <c r="J119" s="22">
        <v>0.41666666666666669</v>
      </c>
      <c r="K119" s="22">
        <v>0.50277777777777777</v>
      </c>
      <c r="L119" s="4"/>
      <c r="M119" s="4"/>
      <c r="N119" t="s">
        <v>993</v>
      </c>
      <c r="O119" s="4"/>
      <c r="P119" t="s">
        <v>161</v>
      </c>
      <c r="Q119">
        <v>18</v>
      </c>
    </row>
    <row r="120" spans="1:17" ht="14.25" customHeight="1" x14ac:dyDescent="0.25">
      <c r="A120" s="4"/>
      <c r="B120" s="21">
        <v>44200</v>
      </c>
      <c r="C120" s="5">
        <f t="shared" si="2"/>
        <v>2</v>
      </c>
      <c r="D120" s="5">
        <f t="shared" si="3"/>
        <v>2</v>
      </c>
      <c r="E120" s="1" t="s">
        <v>5</v>
      </c>
      <c r="F120" s="1" t="s">
        <v>20</v>
      </c>
      <c r="G120">
        <v>47217</v>
      </c>
      <c r="H120">
        <v>100111</v>
      </c>
      <c r="I120" s="4"/>
      <c r="J120" s="22">
        <v>0.46180555555555558</v>
      </c>
      <c r="K120" s="22">
        <v>0.52847222222222223</v>
      </c>
      <c r="L120" s="4"/>
      <c r="M120" s="4"/>
      <c r="N120" t="s">
        <v>994</v>
      </c>
      <c r="O120" s="4"/>
      <c r="P120" t="s">
        <v>162</v>
      </c>
      <c r="Q120">
        <v>23</v>
      </c>
    </row>
    <row r="121" spans="1:17" ht="14.25" customHeight="1" x14ac:dyDescent="0.25">
      <c r="A121" s="4"/>
      <c r="B121" s="21">
        <v>44200</v>
      </c>
      <c r="C121" s="5">
        <f t="shared" si="2"/>
        <v>2</v>
      </c>
      <c r="D121" s="5">
        <f t="shared" si="3"/>
        <v>2</v>
      </c>
      <c r="E121" s="1" t="s">
        <v>6</v>
      </c>
      <c r="F121" s="1" t="s">
        <v>12</v>
      </c>
      <c r="G121">
        <v>47217</v>
      </c>
      <c r="H121">
        <v>100112</v>
      </c>
      <c r="I121" s="8"/>
      <c r="J121" s="22">
        <v>0.29375000000000001</v>
      </c>
      <c r="K121" s="22">
        <v>0.51597222222222217</v>
      </c>
      <c r="L121" s="4"/>
      <c r="M121" s="4"/>
      <c r="N121" t="s">
        <v>995</v>
      </c>
      <c r="O121" s="4"/>
      <c r="P121" t="s">
        <v>163</v>
      </c>
      <c r="Q121">
        <v>13</v>
      </c>
    </row>
    <row r="122" spans="1:17" ht="14.25" customHeight="1" x14ac:dyDescent="0.25">
      <c r="A122" s="4"/>
      <c r="B122" s="21">
        <v>44200</v>
      </c>
      <c r="C122" s="5">
        <f t="shared" si="2"/>
        <v>2</v>
      </c>
      <c r="D122" s="5">
        <f t="shared" si="3"/>
        <v>2</v>
      </c>
      <c r="E122" s="1" t="s">
        <v>7</v>
      </c>
      <c r="F122" s="1" t="s">
        <v>14</v>
      </c>
      <c r="G122">
        <v>47217</v>
      </c>
      <c r="H122">
        <v>100113</v>
      </c>
      <c r="I122" s="4"/>
      <c r="J122" s="22">
        <v>0.35000000000000003</v>
      </c>
      <c r="K122" s="22">
        <v>0.41319444444444442</v>
      </c>
      <c r="L122" s="4"/>
      <c r="M122" s="4"/>
      <c r="N122" t="s">
        <v>996</v>
      </c>
      <c r="O122" s="4"/>
      <c r="P122" t="s">
        <v>164</v>
      </c>
      <c r="Q122">
        <v>20</v>
      </c>
    </row>
    <row r="123" spans="1:17" ht="14.25" customHeight="1" x14ac:dyDescent="0.25">
      <c r="A123" s="4"/>
      <c r="B123" s="21">
        <v>44200</v>
      </c>
      <c r="C123" s="5">
        <f t="shared" si="2"/>
        <v>2</v>
      </c>
      <c r="D123" s="5">
        <f t="shared" si="3"/>
        <v>2</v>
      </c>
      <c r="E123" s="1" t="s">
        <v>5</v>
      </c>
      <c r="F123" s="1" t="s">
        <v>18</v>
      </c>
      <c r="G123">
        <v>47218</v>
      </c>
      <c r="H123">
        <v>100114</v>
      </c>
      <c r="I123" s="4"/>
      <c r="J123" s="22">
        <v>0.37777777777777777</v>
      </c>
      <c r="K123" s="22">
        <v>0.30833333333333335</v>
      </c>
      <c r="L123" s="4"/>
      <c r="M123" s="4"/>
      <c r="N123" t="s">
        <v>997</v>
      </c>
      <c r="O123" s="4"/>
      <c r="P123" t="s">
        <v>165</v>
      </c>
      <c r="Q123">
        <v>19</v>
      </c>
    </row>
    <row r="124" spans="1:17" ht="14.25" customHeight="1" x14ac:dyDescent="0.25">
      <c r="A124" s="4"/>
      <c r="B124" s="21">
        <v>44200</v>
      </c>
      <c r="C124" s="5">
        <f t="shared" si="2"/>
        <v>2</v>
      </c>
      <c r="D124" s="5">
        <f t="shared" si="3"/>
        <v>2</v>
      </c>
      <c r="E124" s="1" t="s">
        <v>5</v>
      </c>
      <c r="F124" s="1" t="s">
        <v>20</v>
      </c>
      <c r="G124">
        <v>47219</v>
      </c>
      <c r="H124">
        <v>100114</v>
      </c>
      <c r="I124" s="4"/>
      <c r="J124" s="22">
        <v>0.43541666666666662</v>
      </c>
      <c r="K124" s="22">
        <v>0.94513888888888886</v>
      </c>
      <c r="L124" s="4"/>
      <c r="M124" s="4"/>
      <c r="N124" t="s">
        <v>998</v>
      </c>
      <c r="O124" s="4"/>
      <c r="P124" t="s">
        <v>166</v>
      </c>
      <c r="Q124">
        <v>28</v>
      </c>
    </row>
    <row r="125" spans="1:17" ht="14.25" customHeight="1" x14ac:dyDescent="0.25">
      <c r="A125" s="4"/>
      <c r="B125" s="21">
        <v>44200</v>
      </c>
      <c r="C125" s="5">
        <f t="shared" si="2"/>
        <v>2</v>
      </c>
      <c r="D125" s="5">
        <f t="shared" si="3"/>
        <v>2</v>
      </c>
      <c r="E125" s="1" t="s">
        <v>6</v>
      </c>
      <c r="F125" s="1" t="s">
        <v>11</v>
      </c>
      <c r="G125">
        <v>47219</v>
      </c>
      <c r="H125">
        <v>100115</v>
      </c>
      <c r="I125" s="4"/>
      <c r="J125" s="22">
        <v>0.41388888888888892</v>
      </c>
      <c r="K125" s="22">
        <v>0.94930555555555562</v>
      </c>
      <c r="L125" s="4"/>
      <c r="M125" s="4"/>
      <c r="N125" t="s">
        <v>999</v>
      </c>
      <c r="O125" s="4"/>
      <c r="P125" t="s">
        <v>167</v>
      </c>
      <c r="Q125">
        <v>4</v>
      </c>
    </row>
    <row r="126" spans="1:17" ht="14.25" customHeight="1" x14ac:dyDescent="0.25">
      <c r="A126" s="4"/>
      <c r="B126" s="21">
        <v>44200</v>
      </c>
      <c r="C126" s="5">
        <f t="shared" si="2"/>
        <v>2</v>
      </c>
      <c r="D126" s="5">
        <f t="shared" si="3"/>
        <v>2</v>
      </c>
      <c r="E126" s="1" t="s">
        <v>6</v>
      </c>
      <c r="F126" s="1" t="s">
        <v>13</v>
      </c>
      <c r="G126">
        <v>47220</v>
      </c>
      <c r="H126">
        <v>100115</v>
      </c>
      <c r="I126" s="4"/>
      <c r="J126" s="22">
        <v>0.45555555555555555</v>
      </c>
      <c r="K126" s="22">
        <v>0.3659722222222222</v>
      </c>
      <c r="L126" s="4"/>
      <c r="M126" s="4"/>
      <c r="N126" t="s">
        <v>1000</v>
      </c>
      <c r="O126" s="4"/>
      <c r="P126" t="s">
        <v>168</v>
      </c>
      <c r="Q126">
        <v>7</v>
      </c>
    </row>
    <row r="127" spans="1:17" ht="14.25" customHeight="1" x14ac:dyDescent="0.25">
      <c r="A127" s="4"/>
      <c r="B127" s="21">
        <v>44200</v>
      </c>
      <c r="C127" s="5">
        <f t="shared" si="2"/>
        <v>2</v>
      </c>
      <c r="D127" s="5">
        <f t="shared" si="3"/>
        <v>2</v>
      </c>
      <c r="E127" s="1" t="s">
        <v>7</v>
      </c>
      <c r="F127" s="1" t="s">
        <v>14</v>
      </c>
      <c r="G127">
        <v>47221</v>
      </c>
      <c r="H127">
        <v>100116</v>
      </c>
      <c r="I127" s="4"/>
      <c r="J127" s="22">
        <v>0.3430555555555555</v>
      </c>
      <c r="K127" s="22">
        <v>3.1944444444444449E-2</v>
      </c>
      <c r="L127" s="4"/>
      <c r="M127" s="4"/>
      <c r="N127" t="s">
        <v>1001</v>
      </c>
      <c r="O127" s="4"/>
      <c r="P127" t="s">
        <v>156</v>
      </c>
      <c r="Q127">
        <v>29</v>
      </c>
    </row>
    <row r="128" spans="1:17" ht="14.25" customHeight="1" x14ac:dyDescent="0.25">
      <c r="A128" s="4"/>
      <c r="B128" s="21">
        <v>44200</v>
      </c>
      <c r="C128" s="5">
        <f t="shared" si="2"/>
        <v>2</v>
      </c>
      <c r="D128" s="5">
        <f t="shared" si="3"/>
        <v>2</v>
      </c>
      <c r="E128" s="1" t="s">
        <v>5</v>
      </c>
      <c r="F128" s="1" t="s">
        <v>17</v>
      </c>
      <c r="G128">
        <v>47223</v>
      </c>
      <c r="H128">
        <v>100118</v>
      </c>
      <c r="I128" s="4"/>
      <c r="J128" s="22">
        <v>0.38819444444444445</v>
      </c>
      <c r="K128" s="22">
        <v>0.92291666666666661</v>
      </c>
      <c r="L128" s="4"/>
      <c r="M128" s="4"/>
      <c r="N128" t="s">
        <v>1002</v>
      </c>
      <c r="O128" s="4"/>
      <c r="P128" t="s">
        <v>169</v>
      </c>
      <c r="Q128">
        <v>20</v>
      </c>
    </row>
    <row r="129" spans="1:17" ht="14.25" customHeight="1" x14ac:dyDescent="0.25">
      <c r="A129" s="4"/>
      <c r="B129" s="21">
        <v>44200</v>
      </c>
      <c r="C129" s="5">
        <f t="shared" si="2"/>
        <v>2</v>
      </c>
      <c r="D129" s="5">
        <f t="shared" si="3"/>
        <v>2</v>
      </c>
      <c r="E129" s="1" t="s">
        <v>5</v>
      </c>
      <c r="F129" s="1" t="s">
        <v>20</v>
      </c>
      <c r="G129">
        <v>47224</v>
      </c>
      <c r="H129">
        <v>100120</v>
      </c>
      <c r="I129" s="4"/>
      <c r="J129" s="22">
        <v>0.30555555555555552</v>
      </c>
      <c r="K129" s="22">
        <v>0.54652777777777783</v>
      </c>
      <c r="L129" s="4"/>
      <c r="M129" s="4"/>
      <c r="N129" t="s">
        <v>1003</v>
      </c>
      <c r="O129" s="4"/>
      <c r="P129" t="s">
        <v>170</v>
      </c>
      <c r="Q129">
        <v>16</v>
      </c>
    </row>
    <row r="130" spans="1:17" ht="14.25" customHeight="1" x14ac:dyDescent="0.25">
      <c r="A130" s="4"/>
      <c r="B130" s="21">
        <v>44200</v>
      </c>
      <c r="C130" s="5">
        <f t="shared" si="2"/>
        <v>2</v>
      </c>
      <c r="D130" s="5">
        <f t="shared" si="3"/>
        <v>2</v>
      </c>
      <c r="E130" s="1" t="s">
        <v>6</v>
      </c>
      <c r="F130" s="1" t="s">
        <v>13</v>
      </c>
      <c r="G130">
        <v>47224</v>
      </c>
      <c r="H130">
        <v>100121</v>
      </c>
      <c r="I130" s="4"/>
      <c r="J130" s="22">
        <v>0.44861111111111113</v>
      </c>
      <c r="K130" s="22">
        <v>0.16874999999999998</v>
      </c>
      <c r="L130" s="4"/>
      <c r="M130" s="4"/>
      <c r="N130" t="s">
        <v>1004</v>
      </c>
      <c r="O130" s="4"/>
      <c r="P130" t="s">
        <v>171</v>
      </c>
      <c r="Q130">
        <v>21</v>
      </c>
    </row>
    <row r="131" spans="1:17" ht="14.25" customHeight="1" x14ac:dyDescent="0.25">
      <c r="A131" s="4"/>
      <c r="B131" s="21">
        <v>44200</v>
      </c>
      <c r="C131" s="5">
        <f t="shared" ref="C131:C194" si="4">WEEKNUM(B131)</f>
        <v>2</v>
      </c>
      <c r="D131" s="5">
        <f t="shared" ref="D131:D194" si="5">WEEKDAY(B131)</f>
        <v>2</v>
      </c>
      <c r="E131" s="1" t="s">
        <v>6</v>
      </c>
      <c r="F131" s="1" t="s">
        <v>11</v>
      </c>
      <c r="G131">
        <v>47225</v>
      </c>
      <c r="H131">
        <v>100123</v>
      </c>
      <c r="I131" s="4"/>
      <c r="J131" s="22">
        <v>0.43888888888888888</v>
      </c>
      <c r="K131" s="22">
        <v>3.6111111111111115E-2</v>
      </c>
      <c r="L131" s="4"/>
      <c r="M131" s="4"/>
      <c r="N131" t="s">
        <v>1005</v>
      </c>
      <c r="O131" s="4"/>
      <c r="P131" t="s">
        <v>172</v>
      </c>
      <c r="Q131">
        <v>26</v>
      </c>
    </row>
    <row r="132" spans="1:17" ht="14.25" customHeight="1" x14ac:dyDescent="0.25">
      <c r="A132" s="4"/>
      <c r="B132" s="21">
        <v>44200</v>
      </c>
      <c r="C132" s="5">
        <f t="shared" si="4"/>
        <v>2</v>
      </c>
      <c r="D132" s="5">
        <f t="shared" si="5"/>
        <v>2</v>
      </c>
      <c r="E132" s="1" t="s">
        <v>6</v>
      </c>
      <c r="F132" s="1" t="s">
        <v>11</v>
      </c>
      <c r="G132">
        <v>47226</v>
      </c>
      <c r="H132">
        <v>100123</v>
      </c>
      <c r="I132" s="4"/>
      <c r="J132" s="22">
        <v>0.32916666666666666</v>
      </c>
      <c r="K132" s="22">
        <v>0.27777777777777779</v>
      </c>
      <c r="L132" s="4"/>
      <c r="M132" s="4"/>
      <c r="N132" t="s">
        <v>1006</v>
      </c>
      <c r="O132" s="4"/>
      <c r="P132" t="s">
        <v>173</v>
      </c>
      <c r="Q132">
        <v>19</v>
      </c>
    </row>
    <row r="133" spans="1:17" ht="14.25" customHeight="1" x14ac:dyDescent="0.25">
      <c r="A133" s="4"/>
      <c r="B133" s="21">
        <v>44201</v>
      </c>
      <c r="C133" s="5">
        <f t="shared" si="4"/>
        <v>2</v>
      </c>
      <c r="D133" s="5">
        <f t="shared" si="5"/>
        <v>3</v>
      </c>
      <c r="E133" s="1" t="s">
        <v>7</v>
      </c>
      <c r="F133" s="1" t="s">
        <v>16</v>
      </c>
      <c r="G133">
        <v>47227</v>
      </c>
      <c r="H133">
        <v>100123</v>
      </c>
      <c r="I133" s="4"/>
      <c r="J133" s="22">
        <v>0.28402777777777777</v>
      </c>
      <c r="K133" s="22">
        <v>0.3576388888888889</v>
      </c>
      <c r="L133" s="4"/>
      <c r="M133" s="4"/>
      <c r="N133" t="s">
        <v>1007</v>
      </c>
      <c r="O133" s="4"/>
      <c r="P133" t="s">
        <v>174</v>
      </c>
      <c r="Q133">
        <v>10</v>
      </c>
    </row>
    <row r="134" spans="1:17" ht="14.25" customHeight="1" x14ac:dyDescent="0.25">
      <c r="A134" s="4"/>
      <c r="B134" s="21">
        <v>44201</v>
      </c>
      <c r="C134" s="5">
        <f t="shared" si="4"/>
        <v>2</v>
      </c>
      <c r="D134" s="5">
        <f t="shared" si="5"/>
        <v>3</v>
      </c>
      <c r="E134" s="1" t="s">
        <v>5</v>
      </c>
      <c r="F134" s="1" t="s">
        <v>18</v>
      </c>
      <c r="G134">
        <v>47228</v>
      </c>
      <c r="H134">
        <v>100124</v>
      </c>
      <c r="I134" s="4"/>
      <c r="J134" s="22">
        <v>0.28750000000000003</v>
      </c>
      <c r="K134" s="22">
        <v>0.57152777777777775</v>
      </c>
      <c r="L134" s="4"/>
      <c r="M134" s="4"/>
      <c r="N134" t="s">
        <v>1008</v>
      </c>
      <c r="O134" s="4"/>
      <c r="P134" t="s">
        <v>175</v>
      </c>
      <c r="Q134">
        <v>24</v>
      </c>
    </row>
    <row r="135" spans="1:17" ht="14.25" customHeight="1" x14ac:dyDescent="0.25">
      <c r="A135" s="4"/>
      <c r="B135" s="21">
        <v>44201</v>
      </c>
      <c r="C135" s="5">
        <f t="shared" si="4"/>
        <v>2</v>
      </c>
      <c r="D135" s="5">
        <f t="shared" si="5"/>
        <v>3</v>
      </c>
      <c r="E135" s="1" t="s">
        <v>7</v>
      </c>
      <c r="F135" s="1" t="s">
        <v>14</v>
      </c>
      <c r="G135">
        <v>47229</v>
      </c>
      <c r="H135">
        <v>100124</v>
      </c>
      <c r="I135" s="8"/>
      <c r="J135" s="22">
        <v>0.38958333333333334</v>
      </c>
      <c r="K135" s="22">
        <v>0.2951388888888889</v>
      </c>
      <c r="L135" s="4"/>
      <c r="M135" s="4"/>
      <c r="N135" t="s">
        <v>1009</v>
      </c>
      <c r="O135" s="4"/>
      <c r="P135" t="s">
        <v>176</v>
      </c>
      <c r="Q135">
        <v>2</v>
      </c>
    </row>
    <row r="136" spans="1:17" ht="14.25" customHeight="1" x14ac:dyDescent="0.25">
      <c r="A136" s="4"/>
      <c r="B136" s="21">
        <v>44201</v>
      </c>
      <c r="C136" s="5">
        <f t="shared" si="4"/>
        <v>2</v>
      </c>
      <c r="D136" s="5">
        <f t="shared" si="5"/>
        <v>3</v>
      </c>
      <c r="E136" s="1" t="s">
        <v>5</v>
      </c>
      <c r="F136" s="1" t="s">
        <v>20</v>
      </c>
      <c r="G136">
        <v>47229</v>
      </c>
      <c r="H136">
        <v>100125</v>
      </c>
      <c r="I136" s="8"/>
      <c r="J136" s="22">
        <v>0.47222222222222227</v>
      </c>
      <c r="K136" s="22">
        <v>0.22083333333333333</v>
      </c>
      <c r="L136" s="4"/>
      <c r="M136" s="4"/>
      <c r="N136" t="s">
        <v>1010</v>
      </c>
      <c r="O136" s="4"/>
      <c r="P136" t="s">
        <v>177</v>
      </c>
      <c r="Q136">
        <v>12</v>
      </c>
    </row>
    <row r="137" spans="1:17" ht="14.25" customHeight="1" x14ac:dyDescent="0.25">
      <c r="A137" s="4"/>
      <c r="B137" s="21">
        <v>44201</v>
      </c>
      <c r="C137" s="5">
        <f t="shared" si="4"/>
        <v>2</v>
      </c>
      <c r="D137" s="5">
        <f t="shared" si="5"/>
        <v>3</v>
      </c>
      <c r="E137" s="1" t="s">
        <v>7</v>
      </c>
      <c r="F137" s="1" t="s">
        <v>16</v>
      </c>
      <c r="G137">
        <v>47230</v>
      </c>
      <c r="H137">
        <v>100128</v>
      </c>
      <c r="I137" s="4"/>
      <c r="J137" s="22">
        <v>0.25694444444444448</v>
      </c>
      <c r="K137" s="22">
        <v>0.16388888888888889</v>
      </c>
      <c r="L137" s="4"/>
      <c r="M137" s="4"/>
      <c r="N137" t="s">
        <v>1011</v>
      </c>
      <c r="O137" s="4"/>
      <c r="P137" t="s">
        <v>178</v>
      </c>
      <c r="Q137">
        <v>24</v>
      </c>
    </row>
    <row r="138" spans="1:17" ht="14.25" customHeight="1" x14ac:dyDescent="0.25">
      <c r="A138" s="4"/>
      <c r="B138" s="21">
        <v>44201</v>
      </c>
      <c r="C138" s="5">
        <f t="shared" si="4"/>
        <v>2</v>
      </c>
      <c r="D138" s="5">
        <f t="shared" si="5"/>
        <v>3</v>
      </c>
      <c r="E138" s="1" t="s">
        <v>7</v>
      </c>
      <c r="F138" s="1" t="s">
        <v>14</v>
      </c>
      <c r="G138">
        <v>47230</v>
      </c>
      <c r="H138">
        <v>100129</v>
      </c>
      <c r="I138" s="4"/>
      <c r="J138" s="22">
        <v>0.34791666666666665</v>
      </c>
      <c r="K138" s="22">
        <v>0.14861111111111111</v>
      </c>
      <c r="L138" s="4"/>
      <c r="M138" s="4"/>
      <c r="N138" t="s">
        <v>1012</v>
      </c>
      <c r="O138" s="4"/>
      <c r="P138" t="s">
        <v>179</v>
      </c>
      <c r="Q138">
        <v>33</v>
      </c>
    </row>
    <row r="139" spans="1:17" ht="14.25" customHeight="1" x14ac:dyDescent="0.25">
      <c r="A139" s="4"/>
      <c r="B139" s="21">
        <v>44201</v>
      </c>
      <c r="C139" s="5">
        <f t="shared" si="4"/>
        <v>2</v>
      </c>
      <c r="D139" s="5">
        <f t="shared" si="5"/>
        <v>3</v>
      </c>
      <c r="E139" s="1" t="s">
        <v>7</v>
      </c>
      <c r="F139" s="1" t="s">
        <v>16</v>
      </c>
      <c r="G139">
        <v>47235</v>
      </c>
      <c r="H139">
        <v>100129</v>
      </c>
      <c r="I139" s="4"/>
      <c r="J139" s="22">
        <v>0.3520833333333333</v>
      </c>
      <c r="K139" s="22">
        <v>1.6666666666666666E-2</v>
      </c>
      <c r="L139" s="4"/>
      <c r="M139" s="4"/>
      <c r="N139" t="s">
        <v>1013</v>
      </c>
      <c r="O139" s="4"/>
      <c r="P139" t="s">
        <v>180</v>
      </c>
      <c r="Q139">
        <v>11</v>
      </c>
    </row>
    <row r="140" spans="1:17" ht="14.25" customHeight="1" x14ac:dyDescent="0.25">
      <c r="A140" s="4"/>
      <c r="B140" s="21">
        <v>44201</v>
      </c>
      <c r="C140" s="5">
        <f t="shared" si="4"/>
        <v>2</v>
      </c>
      <c r="D140" s="5">
        <f t="shared" si="5"/>
        <v>3</v>
      </c>
      <c r="E140" s="1" t="s">
        <v>6</v>
      </c>
      <c r="F140" s="1" t="s">
        <v>11</v>
      </c>
      <c r="G140">
        <v>47237</v>
      </c>
      <c r="H140">
        <v>100133</v>
      </c>
      <c r="I140" s="4"/>
      <c r="J140" s="22">
        <v>0.43194444444444446</v>
      </c>
      <c r="K140" s="22">
        <v>0.9770833333333333</v>
      </c>
      <c r="L140" s="4"/>
      <c r="M140" s="4"/>
      <c r="N140" t="s">
        <v>1014</v>
      </c>
      <c r="O140" s="4"/>
      <c r="P140" t="s">
        <v>122</v>
      </c>
      <c r="Q140">
        <v>6</v>
      </c>
    </row>
    <row r="141" spans="1:17" ht="14.25" customHeight="1" x14ac:dyDescent="0.25">
      <c r="A141" s="4"/>
      <c r="B141" s="21">
        <v>44201</v>
      </c>
      <c r="C141" s="5">
        <f t="shared" si="4"/>
        <v>2</v>
      </c>
      <c r="D141" s="5">
        <f t="shared" si="5"/>
        <v>3</v>
      </c>
      <c r="E141" s="1" t="s">
        <v>5</v>
      </c>
      <c r="F141" s="1" t="s">
        <v>20</v>
      </c>
      <c r="G141">
        <v>47238</v>
      </c>
      <c r="H141">
        <v>100134</v>
      </c>
      <c r="I141" s="4"/>
      <c r="J141" s="22">
        <v>0.42638888888888887</v>
      </c>
      <c r="K141" s="22">
        <v>6.3888888888888884E-2</v>
      </c>
      <c r="L141" s="4"/>
      <c r="M141" s="4"/>
      <c r="N141" t="s">
        <v>1015</v>
      </c>
      <c r="O141" s="4"/>
      <c r="P141" t="s">
        <v>181</v>
      </c>
      <c r="Q141">
        <v>10</v>
      </c>
    </row>
    <row r="142" spans="1:17" ht="14.25" customHeight="1" x14ac:dyDescent="0.25">
      <c r="A142" s="4"/>
      <c r="B142" s="21">
        <v>44201</v>
      </c>
      <c r="C142" s="5">
        <f t="shared" si="4"/>
        <v>2</v>
      </c>
      <c r="D142" s="5">
        <f t="shared" si="5"/>
        <v>3</v>
      </c>
      <c r="E142" s="1" t="s">
        <v>7</v>
      </c>
      <c r="F142" s="1" t="s">
        <v>14</v>
      </c>
      <c r="G142">
        <v>47239</v>
      </c>
      <c r="H142">
        <v>100134</v>
      </c>
      <c r="I142" s="4"/>
      <c r="J142" s="22">
        <v>0.4291666666666667</v>
      </c>
      <c r="K142" s="22">
        <v>0.14930555555555555</v>
      </c>
      <c r="L142" s="4"/>
      <c r="M142" s="4"/>
      <c r="N142" t="s">
        <v>1016</v>
      </c>
      <c r="O142" s="4"/>
      <c r="P142" t="s">
        <v>182</v>
      </c>
      <c r="Q142">
        <v>29</v>
      </c>
    </row>
    <row r="143" spans="1:17" ht="14.25" customHeight="1" x14ac:dyDescent="0.25">
      <c r="A143" s="4"/>
      <c r="B143" s="21">
        <v>44201</v>
      </c>
      <c r="C143" s="5">
        <f t="shared" si="4"/>
        <v>2</v>
      </c>
      <c r="D143" s="5">
        <f t="shared" si="5"/>
        <v>3</v>
      </c>
      <c r="E143" s="1" t="s">
        <v>6</v>
      </c>
      <c r="F143" s="1" t="s">
        <v>11</v>
      </c>
      <c r="G143">
        <v>47239</v>
      </c>
      <c r="H143">
        <v>100136</v>
      </c>
      <c r="I143" s="4"/>
      <c r="J143" s="22">
        <v>0.36944444444444446</v>
      </c>
      <c r="K143" s="22">
        <v>0.40069444444444446</v>
      </c>
      <c r="L143" s="4"/>
      <c r="M143" s="4"/>
      <c r="N143" t="s">
        <v>1017</v>
      </c>
      <c r="O143" s="4"/>
      <c r="P143" t="s">
        <v>183</v>
      </c>
      <c r="Q143">
        <v>10</v>
      </c>
    </row>
    <row r="144" spans="1:17" ht="14.25" customHeight="1" x14ac:dyDescent="0.25">
      <c r="A144" s="4"/>
      <c r="B144" s="21">
        <v>44201</v>
      </c>
      <c r="C144" s="5">
        <f t="shared" si="4"/>
        <v>2</v>
      </c>
      <c r="D144" s="5">
        <f t="shared" si="5"/>
        <v>3</v>
      </c>
      <c r="E144" s="1" t="s">
        <v>7</v>
      </c>
      <c r="F144" s="1" t="s">
        <v>16</v>
      </c>
      <c r="G144">
        <v>47239</v>
      </c>
      <c r="H144">
        <v>100140</v>
      </c>
      <c r="I144" s="4"/>
      <c r="J144" s="22">
        <v>0.33819444444444446</v>
      </c>
      <c r="K144" s="22">
        <v>0.25694444444444448</v>
      </c>
      <c r="L144" s="4"/>
      <c r="M144" s="4"/>
      <c r="N144" t="s">
        <v>1018</v>
      </c>
      <c r="O144" s="4"/>
      <c r="P144" t="s">
        <v>184</v>
      </c>
      <c r="Q144">
        <v>6</v>
      </c>
    </row>
    <row r="145" spans="1:17" ht="14.25" customHeight="1" x14ac:dyDescent="0.25">
      <c r="A145" s="4"/>
      <c r="B145" s="21">
        <v>44201</v>
      </c>
      <c r="C145" s="5">
        <f t="shared" si="4"/>
        <v>2</v>
      </c>
      <c r="D145" s="5">
        <f t="shared" si="5"/>
        <v>3</v>
      </c>
      <c r="E145" s="1" t="s">
        <v>7</v>
      </c>
      <c r="F145" s="1" t="s">
        <v>15</v>
      </c>
      <c r="G145">
        <v>47241</v>
      </c>
      <c r="H145">
        <v>100143</v>
      </c>
      <c r="I145" s="4"/>
      <c r="J145" s="22">
        <v>0.40277777777777773</v>
      </c>
      <c r="K145" s="22">
        <v>0.96875</v>
      </c>
      <c r="L145" s="4"/>
      <c r="M145" s="4"/>
      <c r="N145" t="s">
        <v>1019</v>
      </c>
      <c r="O145" s="4"/>
      <c r="P145" t="s">
        <v>185</v>
      </c>
      <c r="Q145">
        <v>3</v>
      </c>
    </row>
    <row r="146" spans="1:17" ht="14.25" customHeight="1" x14ac:dyDescent="0.25">
      <c r="A146" s="4"/>
      <c r="B146" s="21">
        <v>44201</v>
      </c>
      <c r="C146" s="5">
        <f t="shared" si="4"/>
        <v>2</v>
      </c>
      <c r="D146" s="5">
        <f t="shared" si="5"/>
        <v>3</v>
      </c>
      <c r="E146" s="1" t="s">
        <v>7</v>
      </c>
      <c r="F146" s="1" t="s">
        <v>16</v>
      </c>
      <c r="G146">
        <v>47242</v>
      </c>
      <c r="H146">
        <v>100144</v>
      </c>
      <c r="I146" s="4"/>
      <c r="J146" s="22">
        <v>0.45694444444444443</v>
      </c>
      <c r="K146" s="22">
        <v>0.39097222222222222</v>
      </c>
      <c r="L146" s="4"/>
      <c r="M146" s="4"/>
      <c r="N146" t="s">
        <v>1020</v>
      </c>
      <c r="O146" s="4"/>
      <c r="P146" t="s">
        <v>186</v>
      </c>
      <c r="Q146">
        <v>11</v>
      </c>
    </row>
    <row r="147" spans="1:17" ht="14.25" customHeight="1" x14ac:dyDescent="0.25">
      <c r="A147" s="4"/>
      <c r="B147" s="21">
        <v>44201</v>
      </c>
      <c r="C147" s="5">
        <f t="shared" si="4"/>
        <v>2</v>
      </c>
      <c r="D147" s="5">
        <f t="shared" si="5"/>
        <v>3</v>
      </c>
      <c r="E147" s="1" t="s">
        <v>6</v>
      </c>
      <c r="F147" s="1" t="s">
        <v>12</v>
      </c>
      <c r="G147">
        <v>47242</v>
      </c>
      <c r="H147">
        <v>100144</v>
      </c>
      <c r="I147" s="4"/>
      <c r="J147" s="22">
        <v>0.44097222222222227</v>
      </c>
      <c r="K147" s="22">
        <v>0.49027777777777781</v>
      </c>
      <c r="L147" s="4"/>
      <c r="M147" s="4"/>
      <c r="N147" t="s">
        <v>1021</v>
      </c>
      <c r="O147" s="4"/>
      <c r="P147" t="s">
        <v>187</v>
      </c>
      <c r="Q147">
        <v>2</v>
      </c>
    </row>
    <row r="148" spans="1:17" ht="14.25" customHeight="1" x14ac:dyDescent="0.25">
      <c r="A148" s="4"/>
      <c r="B148" s="21">
        <v>44201</v>
      </c>
      <c r="C148" s="5">
        <f t="shared" si="4"/>
        <v>2</v>
      </c>
      <c r="D148" s="5">
        <f t="shared" si="5"/>
        <v>3</v>
      </c>
      <c r="E148" s="1" t="s">
        <v>6</v>
      </c>
      <c r="F148" s="1" t="s">
        <v>13</v>
      </c>
      <c r="G148">
        <v>47242</v>
      </c>
      <c r="H148">
        <v>100144</v>
      </c>
      <c r="I148" s="4"/>
      <c r="J148" s="22">
        <v>0.35555555555555557</v>
      </c>
      <c r="K148" s="22">
        <v>0.77847222222222223</v>
      </c>
      <c r="L148" s="4"/>
      <c r="M148" s="4"/>
      <c r="N148" t="s">
        <v>1022</v>
      </c>
      <c r="O148" s="4"/>
      <c r="P148" t="s">
        <v>188</v>
      </c>
      <c r="Q148">
        <v>7</v>
      </c>
    </row>
    <row r="149" spans="1:17" ht="14.25" customHeight="1" x14ac:dyDescent="0.25">
      <c r="A149" s="4"/>
      <c r="B149" s="21">
        <v>44201</v>
      </c>
      <c r="C149" s="5">
        <f t="shared" si="4"/>
        <v>2</v>
      </c>
      <c r="D149" s="5">
        <f t="shared" si="5"/>
        <v>3</v>
      </c>
      <c r="E149" s="1" t="s">
        <v>7</v>
      </c>
      <c r="F149" s="1" t="s">
        <v>16</v>
      </c>
      <c r="G149">
        <v>47242</v>
      </c>
      <c r="H149">
        <v>100144</v>
      </c>
      <c r="I149" s="4"/>
      <c r="J149" s="22">
        <v>0.47638888888888892</v>
      </c>
      <c r="K149" s="22">
        <v>0.41180555555555554</v>
      </c>
      <c r="L149" s="4"/>
      <c r="M149" s="4"/>
      <c r="N149" t="s">
        <v>1023</v>
      </c>
      <c r="O149" s="4"/>
      <c r="P149" t="s">
        <v>189</v>
      </c>
      <c r="Q149">
        <v>17</v>
      </c>
    </row>
    <row r="150" spans="1:17" ht="14.25" customHeight="1" x14ac:dyDescent="0.25">
      <c r="A150" s="4"/>
      <c r="B150" s="21">
        <v>44201</v>
      </c>
      <c r="C150" s="5">
        <f t="shared" si="4"/>
        <v>2</v>
      </c>
      <c r="D150" s="5">
        <f t="shared" si="5"/>
        <v>3</v>
      </c>
      <c r="E150" s="1" t="s">
        <v>7</v>
      </c>
      <c r="F150" s="1" t="s">
        <v>14</v>
      </c>
      <c r="G150">
        <v>47244</v>
      </c>
      <c r="H150">
        <v>100145</v>
      </c>
      <c r="I150" s="4"/>
      <c r="J150" s="22">
        <v>0.40347222222222223</v>
      </c>
      <c r="K150" s="22">
        <v>0.78472222222222221</v>
      </c>
      <c r="L150" s="4"/>
      <c r="M150" s="4"/>
      <c r="N150" t="s">
        <v>1024</v>
      </c>
      <c r="O150" s="4"/>
      <c r="P150" t="s">
        <v>190</v>
      </c>
      <c r="Q150">
        <v>33</v>
      </c>
    </row>
    <row r="151" spans="1:17" ht="14.25" customHeight="1" x14ac:dyDescent="0.25">
      <c r="A151" s="4"/>
      <c r="B151" s="21">
        <v>44201</v>
      </c>
      <c r="C151" s="5">
        <f t="shared" si="4"/>
        <v>2</v>
      </c>
      <c r="D151" s="5">
        <f t="shared" si="5"/>
        <v>3</v>
      </c>
      <c r="E151" s="1" t="s">
        <v>6</v>
      </c>
      <c r="F151" s="1" t="s">
        <v>12</v>
      </c>
      <c r="G151">
        <v>47244</v>
      </c>
      <c r="H151">
        <v>100145</v>
      </c>
      <c r="I151" s="4"/>
      <c r="J151" s="22">
        <v>0.47430555555555554</v>
      </c>
      <c r="K151" s="22">
        <v>9.7222222222222224E-3</v>
      </c>
      <c r="L151" s="4"/>
      <c r="M151" s="4"/>
      <c r="N151" t="s">
        <v>1025</v>
      </c>
      <c r="O151" s="4"/>
      <c r="P151" t="s">
        <v>191</v>
      </c>
      <c r="Q151">
        <v>29</v>
      </c>
    </row>
    <row r="152" spans="1:17" ht="14.25" customHeight="1" x14ac:dyDescent="0.25">
      <c r="A152" s="4"/>
      <c r="B152" s="21">
        <v>44201</v>
      </c>
      <c r="C152" s="5">
        <f t="shared" si="4"/>
        <v>2</v>
      </c>
      <c r="D152" s="5">
        <f t="shared" si="5"/>
        <v>3</v>
      </c>
      <c r="E152" s="1" t="s">
        <v>5</v>
      </c>
      <c r="F152" s="1" t="s">
        <v>18</v>
      </c>
      <c r="G152">
        <v>47245</v>
      </c>
      <c r="H152">
        <v>100146</v>
      </c>
      <c r="I152" s="8"/>
      <c r="J152" s="22">
        <v>0.32083333333333336</v>
      </c>
      <c r="K152" s="22">
        <v>0.90069444444444446</v>
      </c>
      <c r="L152" s="4"/>
      <c r="M152" s="4"/>
      <c r="N152" t="s">
        <v>1026</v>
      </c>
      <c r="O152" s="4"/>
      <c r="P152" t="s">
        <v>192</v>
      </c>
      <c r="Q152">
        <v>11</v>
      </c>
    </row>
    <row r="153" spans="1:17" ht="14.25" customHeight="1" x14ac:dyDescent="0.25">
      <c r="A153" s="4"/>
      <c r="B153" s="21">
        <v>44201</v>
      </c>
      <c r="C153" s="5">
        <f t="shared" si="4"/>
        <v>2</v>
      </c>
      <c r="D153" s="5">
        <f t="shared" si="5"/>
        <v>3</v>
      </c>
      <c r="E153" s="1" t="s">
        <v>7</v>
      </c>
      <c r="F153" s="1" t="s">
        <v>15</v>
      </c>
      <c r="G153">
        <v>47246</v>
      </c>
      <c r="H153">
        <v>100146</v>
      </c>
      <c r="I153" s="8"/>
      <c r="J153" s="22">
        <v>0.31527777777777777</v>
      </c>
      <c r="K153" s="22">
        <v>0.71180555555555547</v>
      </c>
      <c r="L153" s="4"/>
      <c r="M153" s="4"/>
      <c r="N153" t="s">
        <v>1027</v>
      </c>
      <c r="O153" s="4"/>
      <c r="P153" t="s">
        <v>193</v>
      </c>
      <c r="Q153">
        <v>33</v>
      </c>
    </row>
    <row r="154" spans="1:17" ht="14.25" customHeight="1" x14ac:dyDescent="0.25">
      <c r="A154" s="4"/>
      <c r="B154" s="21">
        <v>44201</v>
      </c>
      <c r="C154" s="5">
        <f t="shared" si="4"/>
        <v>2</v>
      </c>
      <c r="D154" s="5">
        <f t="shared" si="5"/>
        <v>3</v>
      </c>
      <c r="E154" s="1" t="s">
        <v>5</v>
      </c>
      <c r="F154" s="1" t="s">
        <v>20</v>
      </c>
      <c r="G154">
        <v>47247</v>
      </c>
      <c r="H154">
        <v>100146</v>
      </c>
      <c r="I154" s="8"/>
      <c r="J154" s="22">
        <v>0.3659722222222222</v>
      </c>
      <c r="K154" s="22">
        <v>0.14375000000000002</v>
      </c>
      <c r="L154" s="4"/>
      <c r="M154" s="4"/>
      <c r="N154" t="s">
        <v>1028</v>
      </c>
      <c r="O154" s="4"/>
      <c r="P154" t="s">
        <v>194</v>
      </c>
      <c r="Q154">
        <v>11</v>
      </c>
    </row>
    <row r="155" spans="1:17" ht="14.25" customHeight="1" x14ac:dyDescent="0.25">
      <c r="A155" s="4"/>
      <c r="B155" s="21">
        <v>44201</v>
      </c>
      <c r="C155" s="5">
        <f t="shared" si="4"/>
        <v>2</v>
      </c>
      <c r="D155" s="5">
        <f t="shared" si="5"/>
        <v>3</v>
      </c>
      <c r="E155" s="1" t="s">
        <v>6</v>
      </c>
      <c r="F155" s="1" t="s">
        <v>11</v>
      </c>
      <c r="G155">
        <v>47249</v>
      </c>
      <c r="H155">
        <v>100147</v>
      </c>
      <c r="I155" s="8"/>
      <c r="J155" s="22">
        <v>0.27152777777777776</v>
      </c>
      <c r="K155" s="22">
        <v>9.7222222222222224E-3</v>
      </c>
      <c r="L155" s="4"/>
      <c r="M155" s="4"/>
      <c r="N155" t="s">
        <v>1029</v>
      </c>
      <c r="O155" s="4"/>
      <c r="P155" t="s">
        <v>195</v>
      </c>
      <c r="Q155">
        <v>24</v>
      </c>
    </row>
    <row r="156" spans="1:17" ht="14.25" customHeight="1" x14ac:dyDescent="0.25">
      <c r="A156" s="4"/>
      <c r="B156" s="21">
        <v>44201</v>
      </c>
      <c r="C156" s="5">
        <f t="shared" si="4"/>
        <v>2</v>
      </c>
      <c r="D156" s="5">
        <f t="shared" si="5"/>
        <v>3</v>
      </c>
      <c r="E156" s="1" t="s">
        <v>6</v>
      </c>
      <c r="F156" s="1" t="s">
        <v>13</v>
      </c>
      <c r="G156">
        <v>47250</v>
      </c>
      <c r="H156">
        <v>100148</v>
      </c>
      <c r="I156" s="4"/>
      <c r="J156" s="22">
        <v>0.28402777777777777</v>
      </c>
      <c r="K156" s="22">
        <v>0.33263888888888887</v>
      </c>
      <c r="L156" s="4"/>
      <c r="M156" s="4"/>
      <c r="N156" t="s">
        <v>1030</v>
      </c>
      <c r="O156" s="4"/>
      <c r="P156" t="s">
        <v>196</v>
      </c>
      <c r="Q156">
        <v>2</v>
      </c>
    </row>
    <row r="157" spans="1:17" ht="14.25" customHeight="1" x14ac:dyDescent="0.25">
      <c r="A157" s="4"/>
      <c r="B157" s="21">
        <v>44201</v>
      </c>
      <c r="C157" s="5">
        <f t="shared" si="4"/>
        <v>2</v>
      </c>
      <c r="D157" s="5">
        <f t="shared" si="5"/>
        <v>3</v>
      </c>
      <c r="E157" s="1" t="s">
        <v>6</v>
      </c>
      <c r="F157" s="1" t="s">
        <v>11</v>
      </c>
      <c r="G157">
        <v>47251</v>
      </c>
      <c r="H157">
        <v>100148</v>
      </c>
      <c r="I157" s="4"/>
      <c r="J157" s="22">
        <v>0.47986111111111113</v>
      </c>
      <c r="K157" s="22">
        <v>0.31944444444444448</v>
      </c>
      <c r="L157" s="4"/>
      <c r="M157" s="4"/>
      <c r="N157" t="s">
        <v>1031</v>
      </c>
      <c r="O157" s="4"/>
      <c r="P157" t="s">
        <v>197</v>
      </c>
      <c r="Q157">
        <v>27</v>
      </c>
    </row>
    <row r="158" spans="1:17" ht="14.25" customHeight="1" x14ac:dyDescent="0.25">
      <c r="A158" s="4"/>
      <c r="B158" s="21">
        <v>44201</v>
      </c>
      <c r="C158" s="5">
        <f t="shared" si="4"/>
        <v>2</v>
      </c>
      <c r="D158" s="5">
        <f t="shared" si="5"/>
        <v>3</v>
      </c>
      <c r="E158" s="1" t="s">
        <v>6</v>
      </c>
      <c r="F158" s="1" t="s">
        <v>12</v>
      </c>
      <c r="G158">
        <v>47251</v>
      </c>
      <c r="H158">
        <v>100150</v>
      </c>
      <c r="I158" s="8"/>
      <c r="J158" s="22">
        <v>0.4993055555555555</v>
      </c>
      <c r="K158" s="22">
        <v>0.2986111111111111</v>
      </c>
      <c r="L158" s="4"/>
      <c r="M158" s="4"/>
      <c r="N158" t="s">
        <v>1032</v>
      </c>
      <c r="O158" s="4"/>
      <c r="P158" t="s">
        <v>198</v>
      </c>
      <c r="Q158">
        <v>5</v>
      </c>
    </row>
    <row r="159" spans="1:17" ht="14.25" customHeight="1" x14ac:dyDescent="0.25">
      <c r="A159" s="4"/>
      <c r="B159" s="21">
        <v>44201</v>
      </c>
      <c r="C159" s="5">
        <f t="shared" si="4"/>
        <v>2</v>
      </c>
      <c r="D159" s="5">
        <f t="shared" si="5"/>
        <v>3</v>
      </c>
      <c r="E159" s="1" t="s">
        <v>7</v>
      </c>
      <c r="F159" s="1" t="s">
        <v>16</v>
      </c>
      <c r="G159">
        <v>47251</v>
      </c>
      <c r="H159">
        <v>100150</v>
      </c>
      <c r="I159" s="8"/>
      <c r="J159" s="22">
        <v>0.47291666666666665</v>
      </c>
      <c r="K159" s="22">
        <v>0.37986111111111115</v>
      </c>
      <c r="L159" s="4"/>
      <c r="M159" s="4"/>
      <c r="N159" t="s">
        <v>1033</v>
      </c>
      <c r="O159" s="4"/>
      <c r="P159" t="s">
        <v>199</v>
      </c>
      <c r="Q159">
        <v>7</v>
      </c>
    </row>
    <row r="160" spans="1:17" ht="14.25" customHeight="1" x14ac:dyDescent="0.25">
      <c r="A160" s="4"/>
      <c r="B160" s="21">
        <v>44201</v>
      </c>
      <c r="C160" s="5">
        <f t="shared" si="4"/>
        <v>2</v>
      </c>
      <c r="D160" s="5">
        <f t="shared" si="5"/>
        <v>3</v>
      </c>
      <c r="E160" s="1" t="s">
        <v>6</v>
      </c>
      <c r="F160" s="1" t="s">
        <v>12</v>
      </c>
      <c r="G160">
        <v>47251</v>
      </c>
      <c r="H160">
        <v>100151</v>
      </c>
      <c r="I160" s="8"/>
      <c r="J160" s="22">
        <v>0.31111111111111112</v>
      </c>
      <c r="K160" s="22">
        <v>0.66805555555555562</v>
      </c>
      <c r="L160" s="4"/>
      <c r="M160" s="4"/>
      <c r="N160" t="s">
        <v>1034</v>
      </c>
      <c r="O160" s="4"/>
      <c r="P160" t="s">
        <v>200</v>
      </c>
      <c r="Q160">
        <v>20</v>
      </c>
    </row>
    <row r="161" spans="1:17" ht="14.25" customHeight="1" x14ac:dyDescent="0.25">
      <c r="A161" s="4"/>
      <c r="B161" s="21">
        <v>44201</v>
      </c>
      <c r="C161" s="5">
        <f t="shared" si="4"/>
        <v>2</v>
      </c>
      <c r="D161" s="5">
        <f t="shared" si="5"/>
        <v>3</v>
      </c>
      <c r="E161" s="1" t="s">
        <v>5</v>
      </c>
      <c r="F161" s="1" t="s">
        <v>18</v>
      </c>
      <c r="G161">
        <v>47252</v>
      </c>
      <c r="H161">
        <v>100152</v>
      </c>
      <c r="I161" s="4"/>
      <c r="J161" s="22">
        <v>0.25069444444444444</v>
      </c>
      <c r="K161" s="22">
        <v>0.50694444444444442</v>
      </c>
      <c r="L161" s="4"/>
      <c r="M161" s="4"/>
      <c r="N161" t="s">
        <v>1035</v>
      </c>
      <c r="O161" s="4"/>
      <c r="P161" t="s">
        <v>93</v>
      </c>
      <c r="Q161">
        <v>23</v>
      </c>
    </row>
    <row r="162" spans="1:17" ht="14.25" customHeight="1" x14ac:dyDescent="0.25">
      <c r="A162" s="4"/>
      <c r="B162" s="21">
        <v>44201</v>
      </c>
      <c r="C162" s="5">
        <f t="shared" si="4"/>
        <v>2</v>
      </c>
      <c r="D162" s="5">
        <f t="shared" si="5"/>
        <v>3</v>
      </c>
      <c r="E162" s="1" t="s">
        <v>5</v>
      </c>
      <c r="F162" s="1" t="s">
        <v>20</v>
      </c>
      <c r="G162">
        <v>47254</v>
      </c>
      <c r="H162">
        <v>100153</v>
      </c>
      <c r="I162" s="4"/>
      <c r="J162" s="22">
        <v>0.43402777777777773</v>
      </c>
      <c r="K162" s="22">
        <v>0.2638888888888889</v>
      </c>
      <c r="L162" s="4"/>
      <c r="M162" s="4"/>
      <c r="N162" t="s">
        <v>1036</v>
      </c>
      <c r="O162" s="4"/>
      <c r="P162" t="s">
        <v>201</v>
      </c>
      <c r="Q162">
        <v>23</v>
      </c>
    </row>
    <row r="163" spans="1:17" ht="14.25" customHeight="1" x14ac:dyDescent="0.25">
      <c r="A163" s="4"/>
      <c r="B163" s="21">
        <v>44201</v>
      </c>
      <c r="C163" s="5">
        <f t="shared" si="4"/>
        <v>2</v>
      </c>
      <c r="D163" s="5">
        <f t="shared" si="5"/>
        <v>3</v>
      </c>
      <c r="E163" s="1" t="s">
        <v>5</v>
      </c>
      <c r="F163" s="1" t="s">
        <v>19</v>
      </c>
      <c r="G163">
        <v>47255</v>
      </c>
      <c r="H163">
        <v>100154</v>
      </c>
      <c r="I163" s="4"/>
      <c r="J163" s="22">
        <v>0.33680555555555558</v>
      </c>
      <c r="K163" s="22">
        <v>0.1388888888888889</v>
      </c>
      <c r="L163" s="4"/>
      <c r="M163" s="4"/>
      <c r="N163" t="s">
        <v>1037</v>
      </c>
      <c r="O163" s="4"/>
      <c r="P163" t="s">
        <v>202</v>
      </c>
      <c r="Q163">
        <v>31</v>
      </c>
    </row>
    <row r="164" spans="1:17" ht="14.25" customHeight="1" x14ac:dyDescent="0.25">
      <c r="A164" s="4"/>
      <c r="B164" s="21">
        <v>44201</v>
      </c>
      <c r="C164" s="5">
        <f t="shared" si="4"/>
        <v>2</v>
      </c>
      <c r="D164" s="5">
        <f t="shared" si="5"/>
        <v>3</v>
      </c>
      <c r="E164" s="1" t="s">
        <v>6</v>
      </c>
      <c r="F164" s="1" t="s">
        <v>13</v>
      </c>
      <c r="G164">
        <v>47255</v>
      </c>
      <c r="H164">
        <v>100155</v>
      </c>
      <c r="I164" s="4"/>
      <c r="J164" s="22">
        <v>0.34861111111111115</v>
      </c>
      <c r="K164" s="22">
        <v>0.62430555555555556</v>
      </c>
      <c r="L164" s="4"/>
      <c r="M164" s="4"/>
      <c r="N164" t="s">
        <v>1038</v>
      </c>
      <c r="O164" s="4"/>
      <c r="P164" t="s">
        <v>203</v>
      </c>
      <c r="Q164">
        <v>6</v>
      </c>
    </row>
    <row r="165" spans="1:17" ht="14.25" customHeight="1" x14ac:dyDescent="0.25">
      <c r="A165" s="4"/>
      <c r="B165" s="21">
        <v>44201</v>
      </c>
      <c r="C165" s="5">
        <f t="shared" si="4"/>
        <v>2</v>
      </c>
      <c r="D165" s="5">
        <f t="shared" si="5"/>
        <v>3</v>
      </c>
      <c r="E165" s="1" t="s">
        <v>5</v>
      </c>
      <c r="F165" s="1" t="s">
        <v>19</v>
      </c>
      <c r="G165">
        <v>47256</v>
      </c>
      <c r="H165">
        <v>100155</v>
      </c>
      <c r="I165" s="4"/>
      <c r="J165" s="22">
        <v>0.27083333333333331</v>
      </c>
      <c r="K165" s="22">
        <v>0.9458333333333333</v>
      </c>
      <c r="L165" s="4"/>
      <c r="M165" s="4"/>
      <c r="N165" t="s">
        <v>1039</v>
      </c>
      <c r="O165" s="4"/>
      <c r="P165" t="s">
        <v>204</v>
      </c>
      <c r="Q165">
        <v>15</v>
      </c>
    </row>
    <row r="166" spans="1:17" ht="14.25" customHeight="1" x14ac:dyDescent="0.25">
      <c r="A166" s="4"/>
      <c r="B166" s="21">
        <v>44201</v>
      </c>
      <c r="C166" s="5">
        <f t="shared" si="4"/>
        <v>2</v>
      </c>
      <c r="D166" s="5">
        <f t="shared" si="5"/>
        <v>3</v>
      </c>
      <c r="E166" s="1" t="s">
        <v>7</v>
      </c>
      <c r="F166" s="1" t="s">
        <v>14</v>
      </c>
      <c r="G166">
        <v>47257</v>
      </c>
      <c r="H166">
        <v>100155</v>
      </c>
      <c r="I166" s="4"/>
      <c r="J166" s="22">
        <v>0.43194444444444446</v>
      </c>
      <c r="K166" s="22">
        <v>0.97361111111111109</v>
      </c>
      <c r="L166" s="4"/>
      <c r="M166" s="4"/>
      <c r="N166" t="s">
        <v>1040</v>
      </c>
      <c r="O166" s="4"/>
      <c r="P166" t="s">
        <v>205</v>
      </c>
      <c r="Q166">
        <v>11</v>
      </c>
    </row>
    <row r="167" spans="1:17" ht="14.25" customHeight="1" x14ac:dyDescent="0.25">
      <c r="A167" s="4"/>
      <c r="B167" s="21">
        <v>44202</v>
      </c>
      <c r="C167" s="5">
        <f t="shared" si="4"/>
        <v>2</v>
      </c>
      <c r="D167" s="5">
        <f t="shared" si="5"/>
        <v>4</v>
      </c>
      <c r="E167" s="1" t="s">
        <v>6</v>
      </c>
      <c r="F167" s="1" t="s">
        <v>13</v>
      </c>
      <c r="G167">
        <v>47259</v>
      </c>
      <c r="H167">
        <v>100157</v>
      </c>
      <c r="I167" s="4"/>
      <c r="J167" s="22">
        <v>0.4680555555555555</v>
      </c>
      <c r="K167" s="22">
        <v>0.28750000000000003</v>
      </c>
      <c r="L167" s="4"/>
      <c r="M167" s="4"/>
      <c r="N167" t="s">
        <v>1041</v>
      </c>
      <c r="O167" s="4"/>
      <c r="P167" t="s">
        <v>206</v>
      </c>
      <c r="Q167">
        <v>7</v>
      </c>
    </row>
    <row r="168" spans="1:17" ht="14.25" customHeight="1" x14ac:dyDescent="0.25">
      <c r="A168" s="4"/>
      <c r="B168" s="21">
        <v>44202</v>
      </c>
      <c r="C168" s="5">
        <f t="shared" si="4"/>
        <v>2</v>
      </c>
      <c r="D168" s="5">
        <f t="shared" si="5"/>
        <v>4</v>
      </c>
      <c r="E168" s="1" t="s">
        <v>5</v>
      </c>
      <c r="F168" s="1" t="s">
        <v>19</v>
      </c>
      <c r="G168">
        <v>47263</v>
      </c>
      <c r="H168">
        <v>100159</v>
      </c>
      <c r="I168" s="4"/>
      <c r="J168" s="22">
        <v>0.47222222222222227</v>
      </c>
      <c r="K168" s="22">
        <v>0.65486111111111112</v>
      </c>
      <c r="L168" s="4"/>
      <c r="M168" s="4"/>
      <c r="N168" t="s">
        <v>1042</v>
      </c>
      <c r="O168" s="4"/>
      <c r="P168" t="s">
        <v>207</v>
      </c>
      <c r="Q168">
        <v>24</v>
      </c>
    </row>
    <row r="169" spans="1:17" ht="14.25" customHeight="1" x14ac:dyDescent="0.25">
      <c r="A169" s="4"/>
      <c r="B169" s="21">
        <v>44202</v>
      </c>
      <c r="C169" s="5">
        <f t="shared" si="4"/>
        <v>2</v>
      </c>
      <c r="D169" s="5">
        <f t="shared" si="5"/>
        <v>4</v>
      </c>
      <c r="E169" s="1" t="s">
        <v>6</v>
      </c>
      <c r="F169" s="1" t="s">
        <v>13</v>
      </c>
      <c r="G169">
        <v>47263</v>
      </c>
      <c r="H169">
        <v>100159</v>
      </c>
      <c r="I169" s="4"/>
      <c r="J169" s="22">
        <v>0.43611111111111112</v>
      </c>
      <c r="K169" s="22">
        <v>0.17083333333333331</v>
      </c>
      <c r="L169" s="4"/>
      <c r="M169" s="4"/>
      <c r="N169" t="s">
        <v>1043</v>
      </c>
      <c r="O169" s="4"/>
      <c r="P169" t="s">
        <v>208</v>
      </c>
      <c r="Q169">
        <v>5</v>
      </c>
    </row>
    <row r="170" spans="1:17" ht="14.25" customHeight="1" x14ac:dyDescent="0.25">
      <c r="A170" s="4"/>
      <c r="B170" s="21">
        <v>44202</v>
      </c>
      <c r="C170" s="5">
        <f t="shared" si="4"/>
        <v>2</v>
      </c>
      <c r="D170" s="5">
        <f t="shared" si="5"/>
        <v>4</v>
      </c>
      <c r="E170" s="1" t="s">
        <v>5</v>
      </c>
      <c r="F170" s="1" t="s">
        <v>19</v>
      </c>
      <c r="G170">
        <v>47264</v>
      </c>
      <c r="H170">
        <v>100159</v>
      </c>
      <c r="I170" s="4"/>
      <c r="J170" s="22">
        <v>0.48541666666666666</v>
      </c>
      <c r="K170" s="22">
        <v>0.58888888888888891</v>
      </c>
      <c r="L170" s="4"/>
      <c r="M170" s="4"/>
      <c r="N170" t="s">
        <v>1044</v>
      </c>
      <c r="O170" s="4"/>
      <c r="P170" t="s">
        <v>209</v>
      </c>
      <c r="Q170">
        <v>26</v>
      </c>
    </row>
    <row r="171" spans="1:17" ht="14.25" customHeight="1" x14ac:dyDescent="0.25">
      <c r="A171" s="4"/>
      <c r="B171" s="21">
        <v>44202</v>
      </c>
      <c r="C171" s="5">
        <f t="shared" si="4"/>
        <v>2</v>
      </c>
      <c r="D171" s="5">
        <f t="shared" si="5"/>
        <v>4</v>
      </c>
      <c r="E171" s="1" t="s">
        <v>7</v>
      </c>
      <c r="F171" s="1" t="s">
        <v>15</v>
      </c>
      <c r="G171">
        <v>47264</v>
      </c>
      <c r="H171">
        <v>100159</v>
      </c>
      <c r="I171" s="8"/>
      <c r="J171" s="22">
        <v>0.39027777777777778</v>
      </c>
      <c r="K171" s="22">
        <v>0.76388888888888884</v>
      </c>
      <c r="L171" s="4"/>
      <c r="M171" s="4"/>
      <c r="N171" t="s">
        <v>1045</v>
      </c>
      <c r="O171" s="4"/>
      <c r="P171" t="s">
        <v>210</v>
      </c>
      <c r="Q171">
        <v>31</v>
      </c>
    </row>
    <row r="172" spans="1:17" ht="14.25" customHeight="1" x14ac:dyDescent="0.25">
      <c r="A172" s="4"/>
      <c r="B172" s="21">
        <v>44202</v>
      </c>
      <c r="C172" s="5">
        <f t="shared" si="4"/>
        <v>2</v>
      </c>
      <c r="D172" s="5">
        <f t="shared" si="5"/>
        <v>4</v>
      </c>
      <c r="E172" s="1" t="s">
        <v>5</v>
      </c>
      <c r="F172" s="1" t="s">
        <v>17</v>
      </c>
      <c r="G172">
        <v>47265</v>
      </c>
      <c r="H172">
        <v>100159</v>
      </c>
      <c r="I172" s="8"/>
      <c r="J172" s="22">
        <v>0.39166666666666666</v>
      </c>
      <c r="K172" s="22">
        <v>0.7631944444444444</v>
      </c>
      <c r="L172" s="4"/>
      <c r="M172" s="4"/>
      <c r="N172" t="s">
        <v>1046</v>
      </c>
      <c r="O172" s="4"/>
      <c r="P172" t="s">
        <v>211</v>
      </c>
      <c r="Q172">
        <v>26</v>
      </c>
    </row>
    <row r="173" spans="1:17" ht="14.25" customHeight="1" x14ac:dyDescent="0.25">
      <c r="A173" s="4"/>
      <c r="B173" s="21">
        <v>44202</v>
      </c>
      <c r="C173" s="5">
        <f t="shared" si="4"/>
        <v>2</v>
      </c>
      <c r="D173" s="5">
        <f t="shared" si="5"/>
        <v>4</v>
      </c>
      <c r="E173" s="1" t="s">
        <v>6</v>
      </c>
      <c r="F173" s="1" t="s">
        <v>12</v>
      </c>
      <c r="G173">
        <v>47265</v>
      </c>
      <c r="H173">
        <v>100160</v>
      </c>
      <c r="I173" s="8"/>
      <c r="J173" s="22">
        <v>0.33402777777777781</v>
      </c>
      <c r="K173" s="22">
        <v>0.17847222222222223</v>
      </c>
      <c r="L173" s="4"/>
      <c r="M173" s="4"/>
      <c r="N173" t="s">
        <v>1047</v>
      </c>
      <c r="O173" s="4"/>
      <c r="P173" t="s">
        <v>212</v>
      </c>
      <c r="Q173">
        <v>15</v>
      </c>
    </row>
    <row r="174" spans="1:17" ht="14.25" customHeight="1" x14ac:dyDescent="0.25">
      <c r="A174" s="4"/>
      <c r="B174" s="21">
        <v>44202</v>
      </c>
      <c r="C174" s="5">
        <f t="shared" si="4"/>
        <v>2</v>
      </c>
      <c r="D174" s="5">
        <f t="shared" si="5"/>
        <v>4</v>
      </c>
      <c r="E174" s="1" t="s">
        <v>5</v>
      </c>
      <c r="F174" s="1" t="s">
        <v>17</v>
      </c>
      <c r="G174">
        <v>47267</v>
      </c>
      <c r="H174">
        <v>100161</v>
      </c>
      <c r="I174" s="8"/>
      <c r="J174" s="22">
        <v>0.34652777777777777</v>
      </c>
      <c r="K174" s="22">
        <v>0.31666666666666665</v>
      </c>
      <c r="L174" s="4"/>
      <c r="M174" s="4"/>
      <c r="N174" t="s">
        <v>1048</v>
      </c>
      <c r="O174" s="4"/>
      <c r="P174" t="s">
        <v>213</v>
      </c>
      <c r="Q174">
        <v>14</v>
      </c>
    </row>
    <row r="175" spans="1:17" ht="14.25" customHeight="1" x14ac:dyDescent="0.25">
      <c r="A175" s="4"/>
      <c r="B175" s="21">
        <v>44202</v>
      </c>
      <c r="C175" s="5">
        <f t="shared" si="4"/>
        <v>2</v>
      </c>
      <c r="D175" s="5">
        <f t="shared" si="5"/>
        <v>4</v>
      </c>
      <c r="E175" s="1" t="s">
        <v>5</v>
      </c>
      <c r="F175" s="1" t="s">
        <v>17</v>
      </c>
      <c r="G175">
        <v>47267</v>
      </c>
      <c r="H175">
        <v>100161</v>
      </c>
      <c r="I175" s="8"/>
      <c r="J175" s="22">
        <v>0.46527777777777773</v>
      </c>
      <c r="K175" s="22">
        <v>0.37222222222222223</v>
      </c>
      <c r="L175" s="4"/>
      <c r="M175" s="4"/>
      <c r="N175" t="s">
        <v>1049</v>
      </c>
      <c r="O175" s="4"/>
      <c r="P175" t="s">
        <v>214</v>
      </c>
      <c r="Q175">
        <v>25</v>
      </c>
    </row>
    <row r="176" spans="1:17" ht="14.25" customHeight="1" x14ac:dyDescent="0.25">
      <c r="A176" s="4"/>
      <c r="B176" s="21">
        <v>44202</v>
      </c>
      <c r="C176" s="5">
        <f t="shared" si="4"/>
        <v>2</v>
      </c>
      <c r="D176" s="5">
        <f t="shared" si="5"/>
        <v>4</v>
      </c>
      <c r="E176" s="1" t="s">
        <v>6</v>
      </c>
      <c r="F176" s="1" t="s">
        <v>12</v>
      </c>
      <c r="G176">
        <v>47268</v>
      </c>
      <c r="H176">
        <v>100162</v>
      </c>
      <c r="I176" s="8"/>
      <c r="J176" s="22">
        <v>0.4375</v>
      </c>
      <c r="K176" s="22">
        <v>0.5756944444444444</v>
      </c>
      <c r="L176" s="4"/>
      <c r="M176" s="4"/>
      <c r="N176" t="s">
        <v>1050</v>
      </c>
      <c r="O176" s="4"/>
      <c r="P176" t="s">
        <v>196</v>
      </c>
      <c r="Q176">
        <v>19</v>
      </c>
    </row>
    <row r="177" spans="1:17" ht="14.25" customHeight="1" x14ac:dyDescent="0.25">
      <c r="A177" s="4"/>
      <c r="B177" s="21">
        <v>44202</v>
      </c>
      <c r="C177" s="5">
        <f t="shared" si="4"/>
        <v>2</v>
      </c>
      <c r="D177" s="5">
        <f t="shared" si="5"/>
        <v>4</v>
      </c>
      <c r="E177" s="1" t="s">
        <v>5</v>
      </c>
      <c r="F177" s="1" t="s">
        <v>17</v>
      </c>
      <c r="G177">
        <v>47272</v>
      </c>
      <c r="H177">
        <v>100163</v>
      </c>
      <c r="I177" s="8"/>
      <c r="J177" s="22">
        <v>0.41250000000000003</v>
      </c>
      <c r="K177" s="22">
        <v>0.3923611111111111</v>
      </c>
      <c r="L177" s="4"/>
      <c r="M177" s="4"/>
      <c r="N177" t="s">
        <v>1051</v>
      </c>
      <c r="O177" s="4"/>
      <c r="P177" t="s">
        <v>215</v>
      </c>
      <c r="Q177">
        <v>28</v>
      </c>
    </row>
    <row r="178" spans="1:17" ht="14.25" customHeight="1" x14ac:dyDescent="0.25">
      <c r="A178" s="4"/>
      <c r="B178" s="21">
        <v>44202</v>
      </c>
      <c r="C178" s="5">
        <f t="shared" si="4"/>
        <v>2</v>
      </c>
      <c r="D178" s="5">
        <f t="shared" si="5"/>
        <v>4</v>
      </c>
      <c r="E178" s="1" t="s">
        <v>5</v>
      </c>
      <c r="F178" s="1" t="s">
        <v>17</v>
      </c>
      <c r="G178">
        <v>47273</v>
      </c>
      <c r="H178">
        <v>100165</v>
      </c>
      <c r="I178" s="8"/>
      <c r="J178" s="22">
        <v>0.31111111111111112</v>
      </c>
      <c r="K178" s="22">
        <v>0.39999999999999997</v>
      </c>
      <c r="L178" s="4"/>
      <c r="M178" s="4"/>
      <c r="N178" t="s">
        <v>1052</v>
      </c>
      <c r="O178" s="4"/>
      <c r="P178" t="s">
        <v>216</v>
      </c>
      <c r="Q178">
        <v>3</v>
      </c>
    </row>
    <row r="179" spans="1:17" ht="14.25" customHeight="1" x14ac:dyDescent="0.25">
      <c r="A179" s="4"/>
      <c r="B179" s="21">
        <v>44202</v>
      </c>
      <c r="C179" s="5">
        <f t="shared" si="4"/>
        <v>2</v>
      </c>
      <c r="D179" s="5">
        <f t="shared" si="5"/>
        <v>4</v>
      </c>
      <c r="E179" s="1" t="s">
        <v>5</v>
      </c>
      <c r="F179" s="1" t="s">
        <v>18</v>
      </c>
      <c r="G179">
        <v>47274</v>
      </c>
      <c r="H179">
        <v>100166</v>
      </c>
      <c r="I179" s="4"/>
      <c r="J179" s="22">
        <v>0.3</v>
      </c>
      <c r="K179" s="22">
        <v>0.37638888888888888</v>
      </c>
      <c r="L179" s="4"/>
      <c r="M179" s="4"/>
      <c r="N179" t="s">
        <v>1053</v>
      </c>
      <c r="O179" s="4"/>
      <c r="P179" t="s">
        <v>217</v>
      </c>
      <c r="Q179">
        <v>1</v>
      </c>
    </row>
    <row r="180" spans="1:17" ht="14.25" customHeight="1" x14ac:dyDescent="0.25">
      <c r="A180" s="4"/>
      <c r="B180" s="21">
        <v>44202</v>
      </c>
      <c r="C180" s="5">
        <f t="shared" si="4"/>
        <v>2</v>
      </c>
      <c r="D180" s="5">
        <f t="shared" si="5"/>
        <v>4</v>
      </c>
      <c r="E180" s="1" t="s">
        <v>5</v>
      </c>
      <c r="F180" s="1" t="s">
        <v>17</v>
      </c>
      <c r="G180">
        <v>47275</v>
      </c>
      <c r="H180">
        <v>100167</v>
      </c>
      <c r="I180" s="4"/>
      <c r="J180" s="22">
        <v>0.36874999999999997</v>
      </c>
      <c r="K180" s="22">
        <v>0.64861111111111114</v>
      </c>
      <c r="L180" s="4"/>
      <c r="M180" s="4"/>
      <c r="N180" t="s">
        <v>1054</v>
      </c>
      <c r="O180" s="4"/>
      <c r="P180" t="s">
        <v>218</v>
      </c>
      <c r="Q180">
        <v>17</v>
      </c>
    </row>
    <row r="181" spans="1:17" ht="14.25" customHeight="1" x14ac:dyDescent="0.25">
      <c r="A181" s="4"/>
      <c r="B181" s="21">
        <v>44202</v>
      </c>
      <c r="C181" s="5">
        <f t="shared" si="4"/>
        <v>2</v>
      </c>
      <c r="D181" s="5">
        <f t="shared" si="5"/>
        <v>4</v>
      </c>
      <c r="E181" s="1" t="s">
        <v>5</v>
      </c>
      <c r="F181" s="1" t="s">
        <v>18</v>
      </c>
      <c r="G181">
        <v>47275</v>
      </c>
      <c r="H181">
        <v>100168</v>
      </c>
      <c r="I181" s="4"/>
      <c r="J181" s="22">
        <v>0.42708333333333331</v>
      </c>
      <c r="K181" s="22">
        <v>0.84861111111111109</v>
      </c>
      <c r="L181" s="4"/>
      <c r="M181" s="4"/>
      <c r="N181" t="s">
        <v>1055</v>
      </c>
      <c r="O181" s="4"/>
      <c r="P181" t="s">
        <v>219</v>
      </c>
      <c r="Q181">
        <v>9</v>
      </c>
    </row>
    <row r="182" spans="1:17" ht="14.25" customHeight="1" x14ac:dyDescent="0.25">
      <c r="A182" s="4"/>
      <c r="B182" s="21">
        <v>44202</v>
      </c>
      <c r="C182" s="5">
        <f t="shared" si="4"/>
        <v>2</v>
      </c>
      <c r="D182" s="5">
        <f t="shared" si="5"/>
        <v>4</v>
      </c>
      <c r="E182" s="1" t="s">
        <v>5</v>
      </c>
      <c r="F182" s="1" t="s">
        <v>19</v>
      </c>
      <c r="G182">
        <v>47275</v>
      </c>
      <c r="H182">
        <v>100169</v>
      </c>
      <c r="I182" s="4"/>
      <c r="J182" s="22">
        <v>0.34861111111111115</v>
      </c>
      <c r="K182" s="22">
        <v>0.29722222222222222</v>
      </c>
      <c r="L182" s="4"/>
      <c r="M182" s="4"/>
      <c r="N182" t="s">
        <v>1056</v>
      </c>
      <c r="O182" s="4"/>
      <c r="P182" t="s">
        <v>220</v>
      </c>
      <c r="Q182">
        <v>2</v>
      </c>
    </row>
    <row r="183" spans="1:17" ht="14.25" customHeight="1" x14ac:dyDescent="0.25">
      <c r="A183" s="4"/>
      <c r="B183" s="21">
        <v>44202</v>
      </c>
      <c r="C183" s="5">
        <f t="shared" si="4"/>
        <v>2</v>
      </c>
      <c r="D183" s="5">
        <f t="shared" si="5"/>
        <v>4</v>
      </c>
      <c r="E183" s="1" t="s">
        <v>5</v>
      </c>
      <c r="F183" s="1" t="s">
        <v>18</v>
      </c>
      <c r="G183">
        <v>47276</v>
      </c>
      <c r="H183">
        <v>100171</v>
      </c>
      <c r="I183" s="4"/>
      <c r="J183" s="22">
        <v>0.26597222222222222</v>
      </c>
      <c r="K183" s="22">
        <v>0.7368055555555556</v>
      </c>
      <c r="L183" s="4"/>
      <c r="M183" s="4"/>
      <c r="N183" t="s">
        <v>1057</v>
      </c>
      <c r="O183" s="4"/>
      <c r="P183" t="s">
        <v>221</v>
      </c>
      <c r="Q183">
        <v>14</v>
      </c>
    </row>
    <row r="184" spans="1:17" ht="14.25" customHeight="1" x14ac:dyDescent="0.25">
      <c r="A184" s="4"/>
      <c r="B184" s="21">
        <v>44202</v>
      </c>
      <c r="C184" s="5">
        <f t="shared" si="4"/>
        <v>2</v>
      </c>
      <c r="D184" s="5">
        <f t="shared" si="5"/>
        <v>4</v>
      </c>
      <c r="E184" s="1" t="s">
        <v>7</v>
      </c>
      <c r="F184" s="1" t="s">
        <v>16</v>
      </c>
      <c r="G184">
        <v>47276</v>
      </c>
      <c r="H184">
        <v>100171</v>
      </c>
      <c r="I184" s="4"/>
      <c r="J184" s="22">
        <v>0.49027777777777781</v>
      </c>
      <c r="K184" s="22">
        <v>0.47083333333333338</v>
      </c>
      <c r="L184" s="4"/>
      <c r="M184" s="4"/>
      <c r="N184" t="s">
        <v>1058</v>
      </c>
      <c r="O184" s="4"/>
      <c r="P184" t="s">
        <v>222</v>
      </c>
      <c r="Q184">
        <v>14</v>
      </c>
    </row>
    <row r="185" spans="1:17" ht="14.25" customHeight="1" x14ac:dyDescent="0.25">
      <c r="A185" s="4"/>
      <c r="B185" s="21">
        <v>44202</v>
      </c>
      <c r="C185" s="5">
        <f t="shared" si="4"/>
        <v>2</v>
      </c>
      <c r="D185" s="5">
        <f t="shared" si="5"/>
        <v>4</v>
      </c>
      <c r="E185" s="1" t="s">
        <v>7</v>
      </c>
      <c r="F185" s="1" t="s">
        <v>16</v>
      </c>
      <c r="G185">
        <v>47277</v>
      </c>
      <c r="H185">
        <v>100172</v>
      </c>
      <c r="I185" s="4"/>
      <c r="J185" s="22">
        <v>0.46736111111111112</v>
      </c>
      <c r="K185" s="22">
        <v>0.98749999999999993</v>
      </c>
      <c r="L185" s="4"/>
      <c r="M185" s="4"/>
      <c r="N185" t="s">
        <v>1059</v>
      </c>
      <c r="O185" s="4"/>
      <c r="P185" t="s">
        <v>223</v>
      </c>
      <c r="Q185">
        <v>24</v>
      </c>
    </row>
    <row r="186" spans="1:17" ht="14.25" customHeight="1" x14ac:dyDescent="0.25">
      <c r="A186" s="4"/>
      <c r="B186" s="21">
        <v>44202</v>
      </c>
      <c r="C186" s="5">
        <f t="shared" si="4"/>
        <v>2</v>
      </c>
      <c r="D186" s="5">
        <f t="shared" si="5"/>
        <v>4</v>
      </c>
      <c r="E186" s="1" t="s">
        <v>5</v>
      </c>
      <c r="F186" s="1" t="s">
        <v>20</v>
      </c>
      <c r="G186">
        <v>47278</v>
      </c>
      <c r="H186">
        <v>100172</v>
      </c>
      <c r="I186" s="4"/>
      <c r="J186" s="22">
        <v>0.41597222222222219</v>
      </c>
      <c r="K186" s="22">
        <v>0.18888888888888888</v>
      </c>
      <c r="L186" s="4"/>
      <c r="M186" s="4"/>
      <c r="N186" t="s">
        <v>1060</v>
      </c>
      <c r="O186" s="4"/>
      <c r="P186" t="s">
        <v>224</v>
      </c>
      <c r="Q186">
        <v>16</v>
      </c>
    </row>
    <row r="187" spans="1:17" ht="14.25" customHeight="1" x14ac:dyDescent="0.25">
      <c r="A187" s="4"/>
      <c r="B187" s="21">
        <v>44202</v>
      </c>
      <c r="C187" s="5">
        <f t="shared" si="4"/>
        <v>2</v>
      </c>
      <c r="D187" s="5">
        <f t="shared" si="5"/>
        <v>4</v>
      </c>
      <c r="E187" s="1" t="s">
        <v>5</v>
      </c>
      <c r="F187" s="1" t="s">
        <v>19</v>
      </c>
      <c r="G187">
        <v>47282</v>
      </c>
      <c r="H187">
        <v>100172</v>
      </c>
      <c r="I187" s="4"/>
      <c r="J187" s="22">
        <v>0.41388888888888892</v>
      </c>
      <c r="K187" s="22">
        <v>0.21875</v>
      </c>
      <c r="L187" s="4"/>
      <c r="M187" s="4"/>
      <c r="N187" t="s">
        <v>1061</v>
      </c>
      <c r="O187" s="4"/>
      <c r="P187" t="s">
        <v>225</v>
      </c>
      <c r="Q187">
        <v>13</v>
      </c>
    </row>
    <row r="188" spans="1:17" ht="14.25" customHeight="1" x14ac:dyDescent="0.25">
      <c r="A188" s="4"/>
      <c r="B188" s="21">
        <v>44202</v>
      </c>
      <c r="C188" s="5">
        <f t="shared" si="4"/>
        <v>2</v>
      </c>
      <c r="D188" s="5">
        <f t="shared" si="5"/>
        <v>4</v>
      </c>
      <c r="E188" s="1" t="s">
        <v>7</v>
      </c>
      <c r="F188" s="1" t="s">
        <v>15</v>
      </c>
      <c r="G188">
        <v>47282</v>
      </c>
      <c r="H188">
        <v>100176</v>
      </c>
      <c r="I188" s="4"/>
      <c r="J188" s="22">
        <v>0.45069444444444445</v>
      </c>
      <c r="K188" s="22">
        <v>0.15277777777777776</v>
      </c>
      <c r="L188" s="4"/>
      <c r="M188" s="4"/>
      <c r="N188" t="s">
        <v>1062</v>
      </c>
      <c r="O188" s="4"/>
      <c r="P188" t="s">
        <v>226</v>
      </c>
      <c r="Q188">
        <v>13</v>
      </c>
    </row>
    <row r="189" spans="1:17" ht="14.25" customHeight="1" x14ac:dyDescent="0.25">
      <c r="A189" s="4"/>
      <c r="B189" s="21">
        <v>44202</v>
      </c>
      <c r="C189" s="5">
        <f t="shared" si="4"/>
        <v>2</v>
      </c>
      <c r="D189" s="5">
        <f t="shared" si="5"/>
        <v>4</v>
      </c>
      <c r="E189" s="1" t="s">
        <v>6</v>
      </c>
      <c r="F189" s="1" t="s">
        <v>11</v>
      </c>
      <c r="G189">
        <v>47284</v>
      </c>
      <c r="H189">
        <v>100176</v>
      </c>
      <c r="I189" s="4"/>
      <c r="J189" s="22">
        <v>0.32430555555555557</v>
      </c>
      <c r="K189" s="22">
        <v>0.61319444444444449</v>
      </c>
      <c r="L189" s="4"/>
      <c r="M189" s="4"/>
      <c r="N189" t="s">
        <v>1063</v>
      </c>
      <c r="O189" s="4"/>
      <c r="P189" t="s">
        <v>227</v>
      </c>
      <c r="Q189">
        <v>3</v>
      </c>
    </row>
    <row r="190" spans="1:17" ht="14.25" customHeight="1" x14ac:dyDescent="0.25">
      <c r="A190" s="4"/>
      <c r="B190" s="21">
        <v>44202</v>
      </c>
      <c r="C190" s="5">
        <f t="shared" si="4"/>
        <v>2</v>
      </c>
      <c r="D190" s="5">
        <f t="shared" si="5"/>
        <v>4</v>
      </c>
      <c r="E190" s="1" t="s">
        <v>6</v>
      </c>
      <c r="F190" s="1" t="s">
        <v>13</v>
      </c>
      <c r="G190">
        <v>47285</v>
      </c>
      <c r="H190">
        <v>100181</v>
      </c>
      <c r="I190" s="4"/>
      <c r="J190" s="22">
        <v>0.28125</v>
      </c>
      <c r="K190" s="22">
        <v>0.17430555555555557</v>
      </c>
      <c r="L190" s="4"/>
      <c r="M190" s="4"/>
      <c r="N190" t="s">
        <v>1064</v>
      </c>
      <c r="O190" s="4"/>
      <c r="P190" t="s">
        <v>228</v>
      </c>
      <c r="Q190">
        <v>25</v>
      </c>
    </row>
    <row r="191" spans="1:17" ht="14.25" customHeight="1" x14ac:dyDescent="0.25">
      <c r="A191" s="4"/>
      <c r="B191" s="21">
        <v>44202</v>
      </c>
      <c r="C191" s="5">
        <f t="shared" si="4"/>
        <v>2</v>
      </c>
      <c r="D191" s="5">
        <f t="shared" si="5"/>
        <v>4</v>
      </c>
      <c r="E191" s="1" t="s">
        <v>6</v>
      </c>
      <c r="F191" s="1" t="s">
        <v>12</v>
      </c>
      <c r="G191">
        <v>47287</v>
      </c>
      <c r="H191">
        <v>100181</v>
      </c>
      <c r="I191" s="4"/>
      <c r="J191" s="22">
        <v>0.4368055555555555</v>
      </c>
      <c r="K191" s="22">
        <v>0.99375000000000002</v>
      </c>
      <c r="L191" s="4"/>
      <c r="M191" s="4"/>
      <c r="N191" t="s">
        <v>1065</v>
      </c>
      <c r="O191" s="4"/>
      <c r="P191" t="s">
        <v>229</v>
      </c>
      <c r="Q191">
        <v>22</v>
      </c>
    </row>
    <row r="192" spans="1:17" ht="14.25" customHeight="1" x14ac:dyDescent="0.25">
      <c r="A192" s="4"/>
      <c r="B192" s="21">
        <v>44202</v>
      </c>
      <c r="C192" s="5">
        <f t="shared" si="4"/>
        <v>2</v>
      </c>
      <c r="D192" s="5">
        <f t="shared" si="5"/>
        <v>4</v>
      </c>
      <c r="E192" s="1" t="s">
        <v>7</v>
      </c>
      <c r="F192" s="1" t="s">
        <v>15</v>
      </c>
      <c r="G192">
        <v>47287</v>
      </c>
      <c r="H192">
        <v>100181</v>
      </c>
      <c r="I192" s="4"/>
      <c r="J192" s="22">
        <v>0.47291666666666665</v>
      </c>
      <c r="K192" s="22">
        <v>0.32083333333333336</v>
      </c>
      <c r="L192" s="4"/>
      <c r="M192" s="4"/>
      <c r="N192" t="s">
        <v>1066</v>
      </c>
      <c r="O192" s="4"/>
      <c r="P192" t="s">
        <v>230</v>
      </c>
      <c r="Q192">
        <v>22</v>
      </c>
    </row>
    <row r="193" spans="1:17" ht="14.25" customHeight="1" x14ac:dyDescent="0.25">
      <c r="A193" s="4"/>
      <c r="B193" s="21">
        <v>44202</v>
      </c>
      <c r="C193" s="5">
        <f t="shared" si="4"/>
        <v>2</v>
      </c>
      <c r="D193" s="5">
        <f t="shared" si="5"/>
        <v>4</v>
      </c>
      <c r="E193" s="1" t="s">
        <v>6</v>
      </c>
      <c r="F193" s="1" t="s">
        <v>12</v>
      </c>
      <c r="G193">
        <v>47287</v>
      </c>
      <c r="H193">
        <v>100182</v>
      </c>
      <c r="I193" s="4"/>
      <c r="J193" s="22">
        <v>0.4145833333333333</v>
      </c>
      <c r="K193" s="22">
        <v>0.57013888888888886</v>
      </c>
      <c r="L193" s="4"/>
      <c r="M193" s="4"/>
      <c r="N193" t="s">
        <v>1067</v>
      </c>
      <c r="O193" s="4"/>
      <c r="P193" t="s">
        <v>231</v>
      </c>
      <c r="Q193">
        <v>32</v>
      </c>
    </row>
    <row r="194" spans="1:17" ht="14.25" customHeight="1" x14ac:dyDescent="0.25">
      <c r="A194" s="4"/>
      <c r="B194" s="21">
        <v>44202</v>
      </c>
      <c r="C194" s="5">
        <f t="shared" si="4"/>
        <v>2</v>
      </c>
      <c r="D194" s="5">
        <f t="shared" si="5"/>
        <v>4</v>
      </c>
      <c r="E194" s="1" t="s">
        <v>6</v>
      </c>
      <c r="F194" s="1" t="s">
        <v>11</v>
      </c>
      <c r="G194">
        <v>47287</v>
      </c>
      <c r="H194">
        <v>100183</v>
      </c>
      <c r="I194" s="4"/>
      <c r="J194" s="22">
        <v>0.27013888888888887</v>
      </c>
      <c r="K194" s="22">
        <v>0.72361111111111109</v>
      </c>
      <c r="L194" s="4"/>
      <c r="M194" s="4"/>
      <c r="N194" t="s">
        <v>1068</v>
      </c>
      <c r="O194" s="4"/>
      <c r="P194" t="s">
        <v>232</v>
      </c>
      <c r="Q194">
        <v>33</v>
      </c>
    </row>
    <row r="195" spans="1:17" ht="14.25" customHeight="1" x14ac:dyDescent="0.25">
      <c r="A195" s="4"/>
      <c r="B195" s="21">
        <v>44202</v>
      </c>
      <c r="C195" s="5">
        <f t="shared" ref="C195:C258" si="6">WEEKNUM(B195)</f>
        <v>2</v>
      </c>
      <c r="D195" s="5">
        <f t="shared" ref="D195:D258" si="7">WEEKDAY(B195)</f>
        <v>4</v>
      </c>
      <c r="E195" s="1" t="s">
        <v>6</v>
      </c>
      <c r="F195" s="1" t="s">
        <v>13</v>
      </c>
      <c r="G195">
        <v>47288</v>
      </c>
      <c r="H195">
        <v>100185</v>
      </c>
      <c r="I195" s="4"/>
      <c r="J195" s="22">
        <v>0.38125000000000003</v>
      </c>
      <c r="K195" s="22">
        <v>0.98749999999999993</v>
      </c>
      <c r="L195" s="4"/>
      <c r="M195" s="4"/>
      <c r="N195" t="s">
        <v>1069</v>
      </c>
      <c r="O195" s="4"/>
      <c r="P195" t="s">
        <v>233</v>
      </c>
      <c r="Q195">
        <v>21</v>
      </c>
    </row>
    <row r="196" spans="1:17" ht="14.25" customHeight="1" x14ac:dyDescent="0.25">
      <c r="A196" s="4"/>
      <c r="B196" s="21">
        <v>44202</v>
      </c>
      <c r="C196" s="5">
        <f t="shared" si="6"/>
        <v>2</v>
      </c>
      <c r="D196" s="5">
        <f t="shared" si="7"/>
        <v>4</v>
      </c>
      <c r="E196" s="1" t="s">
        <v>5</v>
      </c>
      <c r="F196" s="1" t="s">
        <v>17</v>
      </c>
      <c r="G196">
        <v>47290</v>
      </c>
      <c r="H196">
        <v>100186</v>
      </c>
      <c r="I196" s="4"/>
      <c r="J196" s="22">
        <v>0.39583333333333331</v>
      </c>
      <c r="K196" s="22">
        <v>0.44027777777777777</v>
      </c>
      <c r="L196" s="4"/>
      <c r="M196" s="4"/>
      <c r="N196" t="s">
        <v>1070</v>
      </c>
      <c r="O196" s="4"/>
      <c r="P196" t="s">
        <v>234</v>
      </c>
      <c r="Q196">
        <v>18</v>
      </c>
    </row>
    <row r="197" spans="1:17" ht="14.25" customHeight="1" x14ac:dyDescent="0.25">
      <c r="A197" s="4"/>
      <c r="B197" s="21">
        <v>44202</v>
      </c>
      <c r="C197" s="5">
        <f t="shared" si="6"/>
        <v>2</v>
      </c>
      <c r="D197" s="5">
        <f t="shared" si="7"/>
        <v>4</v>
      </c>
      <c r="E197" s="1" t="s">
        <v>6</v>
      </c>
      <c r="F197" s="1" t="s">
        <v>13</v>
      </c>
      <c r="G197">
        <v>47292</v>
      </c>
      <c r="H197">
        <v>100186</v>
      </c>
      <c r="I197" s="4"/>
      <c r="J197" s="22">
        <v>0.48125000000000001</v>
      </c>
      <c r="K197" s="22">
        <v>0.16388888888888889</v>
      </c>
      <c r="L197" s="4"/>
      <c r="M197" s="4"/>
      <c r="N197" t="s">
        <v>1071</v>
      </c>
      <c r="O197" s="4"/>
      <c r="P197" t="s">
        <v>235</v>
      </c>
      <c r="Q197">
        <v>15</v>
      </c>
    </row>
    <row r="198" spans="1:17" ht="14.25" customHeight="1" x14ac:dyDescent="0.25">
      <c r="A198" s="4"/>
      <c r="B198" s="21">
        <v>44202</v>
      </c>
      <c r="C198" s="5">
        <f t="shared" si="6"/>
        <v>2</v>
      </c>
      <c r="D198" s="5">
        <f t="shared" si="7"/>
        <v>4</v>
      </c>
      <c r="E198" s="1" t="s">
        <v>5</v>
      </c>
      <c r="F198" s="1" t="s">
        <v>18</v>
      </c>
      <c r="G198">
        <v>47293</v>
      </c>
      <c r="H198">
        <v>100187</v>
      </c>
      <c r="I198" s="4"/>
      <c r="J198" s="22">
        <v>0.48749999999999999</v>
      </c>
      <c r="K198" s="22">
        <v>0.82777777777777783</v>
      </c>
      <c r="L198" s="4"/>
      <c r="M198" s="4"/>
      <c r="N198" t="s">
        <v>1072</v>
      </c>
      <c r="O198" s="4"/>
      <c r="P198" t="s">
        <v>236</v>
      </c>
      <c r="Q198">
        <v>24</v>
      </c>
    </row>
    <row r="199" spans="1:17" ht="14.25" customHeight="1" x14ac:dyDescent="0.25">
      <c r="A199" s="4"/>
      <c r="B199" s="21">
        <v>44202</v>
      </c>
      <c r="C199" s="5">
        <f t="shared" si="6"/>
        <v>2</v>
      </c>
      <c r="D199" s="5">
        <f t="shared" si="7"/>
        <v>4</v>
      </c>
      <c r="E199" s="1" t="s">
        <v>7</v>
      </c>
      <c r="F199" s="1" t="s">
        <v>15</v>
      </c>
      <c r="G199">
        <v>47294</v>
      </c>
      <c r="H199">
        <v>100188</v>
      </c>
      <c r="I199" s="4"/>
      <c r="J199" s="22">
        <v>0.45902777777777781</v>
      </c>
      <c r="K199" s="22">
        <v>0.57986111111111105</v>
      </c>
      <c r="L199" s="4"/>
      <c r="M199" s="4"/>
      <c r="N199" t="s">
        <v>1073</v>
      </c>
      <c r="O199" s="4"/>
      <c r="P199" t="s">
        <v>237</v>
      </c>
      <c r="Q199">
        <v>4</v>
      </c>
    </row>
    <row r="200" spans="1:17" ht="14.25" customHeight="1" x14ac:dyDescent="0.25">
      <c r="A200" s="4"/>
      <c r="B200" s="21">
        <v>44202</v>
      </c>
      <c r="C200" s="5">
        <f t="shared" si="6"/>
        <v>2</v>
      </c>
      <c r="D200" s="5">
        <f t="shared" si="7"/>
        <v>4</v>
      </c>
      <c r="E200" s="1" t="s">
        <v>7</v>
      </c>
      <c r="F200" s="1" t="s">
        <v>15</v>
      </c>
      <c r="G200">
        <v>47295</v>
      </c>
      <c r="H200">
        <v>100190</v>
      </c>
      <c r="I200" s="4"/>
      <c r="J200" s="22">
        <v>0.35347222222222219</v>
      </c>
      <c r="K200" s="22">
        <v>0.82777777777777783</v>
      </c>
      <c r="L200" s="4"/>
      <c r="M200" s="4"/>
      <c r="N200" t="s">
        <v>1074</v>
      </c>
      <c r="O200" s="4"/>
      <c r="P200" t="s">
        <v>238</v>
      </c>
      <c r="Q200">
        <v>32</v>
      </c>
    </row>
    <row r="201" spans="1:17" ht="14.25" customHeight="1" x14ac:dyDescent="0.25">
      <c r="A201" s="4"/>
      <c r="B201" s="21">
        <v>44202</v>
      </c>
      <c r="C201" s="5">
        <f t="shared" si="6"/>
        <v>2</v>
      </c>
      <c r="D201" s="5">
        <f t="shared" si="7"/>
        <v>4</v>
      </c>
      <c r="E201" s="1" t="s">
        <v>7</v>
      </c>
      <c r="F201" s="1" t="s">
        <v>16</v>
      </c>
      <c r="G201">
        <v>47298</v>
      </c>
      <c r="H201">
        <v>100190</v>
      </c>
      <c r="I201" s="5"/>
      <c r="J201" s="22">
        <v>0.26597222222222222</v>
      </c>
      <c r="K201" s="22">
        <v>2.0833333333333333E-3</v>
      </c>
      <c r="L201" s="4"/>
      <c r="M201" s="4"/>
      <c r="N201" t="s">
        <v>1075</v>
      </c>
      <c r="O201" s="4"/>
      <c r="P201" t="s">
        <v>239</v>
      </c>
      <c r="Q201">
        <v>15</v>
      </c>
    </row>
    <row r="202" spans="1:17" ht="14.25" customHeight="1" x14ac:dyDescent="0.25">
      <c r="A202" s="4"/>
      <c r="B202" s="21">
        <v>44202</v>
      </c>
      <c r="C202" s="5">
        <f t="shared" si="6"/>
        <v>2</v>
      </c>
      <c r="D202" s="5">
        <f t="shared" si="7"/>
        <v>4</v>
      </c>
      <c r="E202" s="1" t="s">
        <v>7</v>
      </c>
      <c r="F202" s="1" t="s">
        <v>14</v>
      </c>
      <c r="G202">
        <v>47298</v>
      </c>
      <c r="H202">
        <v>100191</v>
      </c>
      <c r="I202" s="4"/>
      <c r="J202" s="22">
        <v>0.25972222222222224</v>
      </c>
      <c r="K202" s="22">
        <v>0.31666666666666665</v>
      </c>
      <c r="L202" s="4"/>
      <c r="M202" s="4"/>
      <c r="N202" t="s">
        <v>1076</v>
      </c>
      <c r="O202" s="4"/>
      <c r="P202" t="s">
        <v>240</v>
      </c>
      <c r="Q202">
        <v>5</v>
      </c>
    </row>
    <row r="203" spans="1:17" ht="14.25" customHeight="1" x14ac:dyDescent="0.25">
      <c r="A203" s="4"/>
      <c r="B203" s="21">
        <v>44203</v>
      </c>
      <c r="C203" s="5">
        <f t="shared" si="6"/>
        <v>2</v>
      </c>
      <c r="D203" s="5">
        <f t="shared" si="7"/>
        <v>5</v>
      </c>
      <c r="E203" s="1" t="s">
        <v>7</v>
      </c>
      <c r="F203" s="1" t="s">
        <v>14</v>
      </c>
      <c r="G203">
        <v>47298</v>
      </c>
      <c r="H203">
        <v>100191</v>
      </c>
      <c r="I203" s="4"/>
      <c r="J203" s="22">
        <v>0.32361111111111113</v>
      </c>
      <c r="K203" s="22">
        <v>0.96250000000000002</v>
      </c>
      <c r="L203" s="4"/>
      <c r="M203" s="4"/>
      <c r="N203" t="s">
        <v>1077</v>
      </c>
      <c r="O203" s="4"/>
      <c r="P203" t="s">
        <v>241</v>
      </c>
      <c r="Q203">
        <v>17</v>
      </c>
    </row>
    <row r="204" spans="1:17" ht="14.25" customHeight="1" x14ac:dyDescent="0.25">
      <c r="A204" s="4"/>
      <c r="B204" s="21">
        <v>44203</v>
      </c>
      <c r="C204" s="5">
        <f t="shared" si="6"/>
        <v>2</v>
      </c>
      <c r="D204" s="5">
        <f t="shared" si="7"/>
        <v>5</v>
      </c>
      <c r="E204" s="1" t="s">
        <v>7</v>
      </c>
      <c r="F204" s="1" t="s">
        <v>16</v>
      </c>
      <c r="G204">
        <v>47299</v>
      </c>
      <c r="H204">
        <v>100191</v>
      </c>
      <c r="I204" s="4"/>
      <c r="J204" s="22">
        <v>0.33819444444444446</v>
      </c>
      <c r="K204" s="22">
        <v>0.69652777777777775</v>
      </c>
      <c r="L204" s="4"/>
      <c r="M204" s="4"/>
      <c r="N204" t="s">
        <v>1078</v>
      </c>
      <c r="O204" s="4"/>
      <c r="P204" t="s">
        <v>242</v>
      </c>
      <c r="Q204">
        <v>6</v>
      </c>
    </row>
    <row r="205" spans="1:17" ht="14.25" customHeight="1" x14ac:dyDescent="0.25">
      <c r="A205" s="4"/>
      <c r="B205" s="21">
        <v>44203</v>
      </c>
      <c r="C205" s="5">
        <f t="shared" si="6"/>
        <v>2</v>
      </c>
      <c r="D205" s="5">
        <f t="shared" si="7"/>
        <v>5</v>
      </c>
      <c r="E205" s="1" t="s">
        <v>5</v>
      </c>
      <c r="F205" s="1" t="s">
        <v>20</v>
      </c>
      <c r="G205">
        <v>47299</v>
      </c>
      <c r="H205">
        <v>100191</v>
      </c>
      <c r="I205" s="4"/>
      <c r="J205" s="22">
        <v>0.4770833333333333</v>
      </c>
      <c r="K205" s="22">
        <v>0.8208333333333333</v>
      </c>
      <c r="L205" s="4"/>
      <c r="M205" s="4"/>
      <c r="N205" t="s">
        <v>1079</v>
      </c>
      <c r="O205" s="4"/>
      <c r="P205" t="s">
        <v>243</v>
      </c>
      <c r="Q205">
        <v>30</v>
      </c>
    </row>
    <row r="206" spans="1:17" ht="14.25" customHeight="1" x14ac:dyDescent="0.25">
      <c r="A206" s="4"/>
      <c r="B206" s="21">
        <v>44203</v>
      </c>
      <c r="C206" s="5">
        <f t="shared" si="6"/>
        <v>2</v>
      </c>
      <c r="D206" s="5">
        <f t="shared" si="7"/>
        <v>5</v>
      </c>
      <c r="E206" s="1" t="s">
        <v>5</v>
      </c>
      <c r="F206" s="1" t="s">
        <v>19</v>
      </c>
      <c r="G206">
        <v>47300</v>
      </c>
      <c r="H206">
        <v>100192</v>
      </c>
      <c r="I206" s="4"/>
      <c r="J206" s="22">
        <v>0.26250000000000001</v>
      </c>
      <c r="K206" s="22">
        <v>0.1673611111111111</v>
      </c>
      <c r="L206" s="4"/>
      <c r="M206" s="4"/>
      <c r="N206" t="s">
        <v>1080</v>
      </c>
      <c r="O206" s="4"/>
      <c r="P206" t="s">
        <v>244</v>
      </c>
      <c r="Q206">
        <v>7</v>
      </c>
    </row>
    <row r="207" spans="1:17" ht="14.25" customHeight="1" x14ac:dyDescent="0.25">
      <c r="A207" s="4"/>
      <c r="B207" s="21">
        <v>44203</v>
      </c>
      <c r="C207" s="5">
        <f t="shared" si="6"/>
        <v>2</v>
      </c>
      <c r="D207" s="5">
        <f t="shared" si="7"/>
        <v>5</v>
      </c>
      <c r="E207" s="1" t="s">
        <v>7</v>
      </c>
      <c r="F207" s="1" t="s">
        <v>16</v>
      </c>
      <c r="G207">
        <v>47301</v>
      </c>
      <c r="H207">
        <v>100195</v>
      </c>
      <c r="I207" s="4"/>
      <c r="J207" s="22">
        <v>0.48472222222222222</v>
      </c>
      <c r="K207" s="22">
        <v>1.0416666666666666E-2</v>
      </c>
      <c r="L207" s="4"/>
      <c r="M207" s="4"/>
      <c r="N207" t="s">
        <v>1081</v>
      </c>
      <c r="O207" s="4"/>
      <c r="P207" t="s">
        <v>245</v>
      </c>
      <c r="Q207">
        <v>23</v>
      </c>
    </row>
    <row r="208" spans="1:17" ht="14.25" customHeight="1" x14ac:dyDescent="0.25">
      <c r="A208" s="4"/>
      <c r="B208" s="21">
        <v>44203</v>
      </c>
      <c r="C208" s="5">
        <f t="shared" si="6"/>
        <v>2</v>
      </c>
      <c r="D208" s="5">
        <f t="shared" si="7"/>
        <v>5</v>
      </c>
      <c r="E208" s="1" t="s">
        <v>6</v>
      </c>
      <c r="F208" s="1" t="s">
        <v>11</v>
      </c>
      <c r="G208">
        <v>47301</v>
      </c>
      <c r="H208">
        <v>100197</v>
      </c>
      <c r="I208" s="4"/>
      <c r="J208" s="22">
        <v>0.47222222222222227</v>
      </c>
      <c r="K208" s="22">
        <v>0.34236111111111112</v>
      </c>
      <c r="L208" s="4"/>
      <c r="M208" s="4"/>
      <c r="N208" t="s">
        <v>1082</v>
      </c>
      <c r="O208" s="4"/>
      <c r="P208" t="s">
        <v>246</v>
      </c>
      <c r="Q208">
        <v>33</v>
      </c>
    </row>
    <row r="209" spans="1:17" ht="14.25" customHeight="1" x14ac:dyDescent="0.25">
      <c r="A209" s="4"/>
      <c r="B209" s="21">
        <v>44203</v>
      </c>
      <c r="C209" s="5">
        <f t="shared" si="6"/>
        <v>2</v>
      </c>
      <c r="D209" s="5">
        <f t="shared" si="7"/>
        <v>5</v>
      </c>
      <c r="E209" s="1" t="s">
        <v>6</v>
      </c>
      <c r="F209" s="1" t="s">
        <v>12</v>
      </c>
      <c r="G209">
        <v>47301</v>
      </c>
      <c r="H209">
        <v>100198</v>
      </c>
      <c r="I209" s="4"/>
      <c r="J209" s="22">
        <v>0.37013888888888885</v>
      </c>
      <c r="K209" s="22">
        <v>0.7284722222222223</v>
      </c>
      <c r="L209" s="4"/>
      <c r="M209" s="4"/>
      <c r="N209" t="s">
        <v>1083</v>
      </c>
      <c r="O209" s="4"/>
      <c r="P209" t="s">
        <v>247</v>
      </c>
      <c r="Q209">
        <v>19</v>
      </c>
    </row>
    <row r="210" spans="1:17" ht="14.25" customHeight="1" x14ac:dyDescent="0.25">
      <c r="A210" s="4"/>
      <c r="B210" s="21">
        <v>44203</v>
      </c>
      <c r="C210" s="5">
        <f t="shared" si="6"/>
        <v>2</v>
      </c>
      <c r="D210" s="5">
        <f t="shared" si="7"/>
        <v>5</v>
      </c>
      <c r="E210" s="1" t="s">
        <v>7</v>
      </c>
      <c r="F210" s="1" t="s">
        <v>16</v>
      </c>
      <c r="G210">
        <v>47302</v>
      </c>
      <c r="H210">
        <v>100198</v>
      </c>
      <c r="I210" s="4"/>
      <c r="J210" s="22">
        <v>0.33263888888888887</v>
      </c>
      <c r="K210" s="22">
        <v>0.5541666666666667</v>
      </c>
      <c r="L210" s="4"/>
      <c r="M210" s="4"/>
      <c r="N210" t="s">
        <v>1084</v>
      </c>
      <c r="O210" s="4"/>
      <c r="P210" t="s">
        <v>116</v>
      </c>
      <c r="Q210">
        <v>11</v>
      </c>
    </row>
    <row r="211" spans="1:17" ht="14.25" customHeight="1" x14ac:dyDescent="0.25">
      <c r="A211" s="4"/>
      <c r="B211" s="21">
        <v>44203</v>
      </c>
      <c r="C211" s="5">
        <f t="shared" si="6"/>
        <v>2</v>
      </c>
      <c r="D211" s="5">
        <f t="shared" si="7"/>
        <v>5</v>
      </c>
      <c r="E211" s="1" t="s">
        <v>5</v>
      </c>
      <c r="F211" s="1" t="s">
        <v>19</v>
      </c>
      <c r="G211">
        <v>47304</v>
      </c>
      <c r="H211">
        <v>100198</v>
      </c>
      <c r="I211" s="4"/>
      <c r="J211" s="22">
        <v>0.29930555555555555</v>
      </c>
      <c r="K211" s="22">
        <v>0.5625</v>
      </c>
      <c r="L211" s="4"/>
      <c r="M211" s="4"/>
      <c r="N211" t="s">
        <v>1085</v>
      </c>
      <c r="O211" s="4"/>
      <c r="P211" t="s">
        <v>248</v>
      </c>
      <c r="Q211">
        <v>3</v>
      </c>
    </row>
    <row r="212" spans="1:17" ht="14.25" customHeight="1" x14ac:dyDescent="0.25">
      <c r="A212" s="4"/>
      <c r="B212" s="21">
        <v>44203</v>
      </c>
      <c r="C212" s="5">
        <f t="shared" si="6"/>
        <v>2</v>
      </c>
      <c r="D212" s="5">
        <f t="shared" si="7"/>
        <v>5</v>
      </c>
      <c r="E212" s="1" t="s">
        <v>5</v>
      </c>
      <c r="F212" s="1" t="s">
        <v>20</v>
      </c>
      <c r="G212">
        <v>47305</v>
      </c>
      <c r="H212">
        <v>100199</v>
      </c>
      <c r="I212" s="4"/>
      <c r="J212" s="22">
        <v>0.33194444444444443</v>
      </c>
      <c r="K212" s="22">
        <v>0.90138888888888891</v>
      </c>
      <c r="L212" s="4"/>
      <c r="M212" s="4"/>
      <c r="N212" t="s">
        <v>1086</v>
      </c>
      <c r="O212" s="4"/>
      <c r="P212" t="s">
        <v>249</v>
      </c>
      <c r="Q212">
        <v>15</v>
      </c>
    </row>
    <row r="213" spans="1:17" ht="14.25" customHeight="1" x14ac:dyDescent="0.25">
      <c r="A213" s="4"/>
      <c r="B213" s="21">
        <v>44203</v>
      </c>
      <c r="C213" s="5">
        <f t="shared" si="6"/>
        <v>2</v>
      </c>
      <c r="D213" s="5">
        <f t="shared" si="7"/>
        <v>5</v>
      </c>
      <c r="E213" s="1" t="s">
        <v>6</v>
      </c>
      <c r="F213" s="1" t="s">
        <v>13</v>
      </c>
      <c r="G213">
        <v>47306</v>
      </c>
      <c r="H213">
        <v>100199</v>
      </c>
      <c r="I213" s="4"/>
      <c r="J213" s="22">
        <v>0.36458333333333331</v>
      </c>
      <c r="K213" s="22">
        <v>0.40347222222222223</v>
      </c>
      <c r="L213" s="4"/>
      <c r="M213" s="4"/>
      <c r="N213" t="s">
        <v>1087</v>
      </c>
      <c r="O213" s="4"/>
      <c r="P213" t="s">
        <v>250</v>
      </c>
      <c r="Q213">
        <v>23</v>
      </c>
    </row>
    <row r="214" spans="1:17" ht="14.25" customHeight="1" x14ac:dyDescent="0.25">
      <c r="A214" s="4"/>
      <c r="B214" s="21">
        <v>44203</v>
      </c>
      <c r="C214" s="5">
        <f t="shared" si="6"/>
        <v>2</v>
      </c>
      <c r="D214" s="5">
        <f t="shared" si="7"/>
        <v>5</v>
      </c>
      <c r="E214" s="1" t="s">
        <v>5</v>
      </c>
      <c r="F214" s="1" t="s">
        <v>19</v>
      </c>
      <c r="G214">
        <v>47306</v>
      </c>
      <c r="H214">
        <v>100202</v>
      </c>
      <c r="I214" s="4"/>
      <c r="J214" s="22">
        <v>0.26805555555555555</v>
      </c>
      <c r="K214" s="22">
        <v>0.22916666666666666</v>
      </c>
      <c r="L214" s="4"/>
      <c r="M214" s="4"/>
      <c r="N214" t="s">
        <v>1088</v>
      </c>
      <c r="O214" s="4"/>
      <c r="P214" t="s">
        <v>251</v>
      </c>
      <c r="Q214">
        <v>19</v>
      </c>
    </row>
    <row r="215" spans="1:17" ht="14.25" customHeight="1" x14ac:dyDescent="0.25">
      <c r="A215" s="4"/>
      <c r="B215" s="21">
        <v>44203</v>
      </c>
      <c r="C215" s="5">
        <f t="shared" si="6"/>
        <v>2</v>
      </c>
      <c r="D215" s="5">
        <f t="shared" si="7"/>
        <v>5</v>
      </c>
      <c r="E215" s="1" t="s">
        <v>5</v>
      </c>
      <c r="F215" s="1" t="s">
        <v>19</v>
      </c>
      <c r="G215">
        <v>47306</v>
      </c>
      <c r="H215">
        <v>100203</v>
      </c>
      <c r="I215" s="8"/>
      <c r="J215" s="22">
        <v>0.48541666666666666</v>
      </c>
      <c r="K215" s="22">
        <v>0.27847222222222223</v>
      </c>
      <c r="L215" s="4"/>
      <c r="M215" s="4"/>
      <c r="N215" t="s">
        <v>1089</v>
      </c>
      <c r="O215" s="4"/>
      <c r="P215" t="s">
        <v>252</v>
      </c>
      <c r="Q215">
        <v>4</v>
      </c>
    </row>
    <row r="216" spans="1:17" ht="14.25" customHeight="1" x14ac:dyDescent="0.25">
      <c r="A216" s="4"/>
      <c r="B216" s="21">
        <v>44203</v>
      </c>
      <c r="C216" s="5">
        <f t="shared" si="6"/>
        <v>2</v>
      </c>
      <c r="D216" s="5">
        <f t="shared" si="7"/>
        <v>5</v>
      </c>
      <c r="E216" s="1" t="s">
        <v>6</v>
      </c>
      <c r="F216" s="1" t="s">
        <v>11</v>
      </c>
      <c r="G216">
        <v>47306</v>
      </c>
      <c r="H216">
        <v>100203</v>
      </c>
      <c r="I216" s="8"/>
      <c r="J216" s="22">
        <v>0.4284722222222222</v>
      </c>
      <c r="K216" s="22">
        <v>0.21666666666666667</v>
      </c>
      <c r="L216" s="4"/>
      <c r="M216" s="4"/>
      <c r="N216" t="s">
        <v>1090</v>
      </c>
      <c r="O216" s="4"/>
      <c r="P216" t="s">
        <v>253</v>
      </c>
      <c r="Q216">
        <v>26</v>
      </c>
    </row>
    <row r="217" spans="1:17" ht="14.25" customHeight="1" x14ac:dyDescent="0.25">
      <c r="A217" s="4"/>
      <c r="B217" s="21">
        <v>44203</v>
      </c>
      <c r="C217" s="5">
        <f t="shared" si="6"/>
        <v>2</v>
      </c>
      <c r="D217" s="5">
        <f t="shared" si="7"/>
        <v>5</v>
      </c>
      <c r="E217" s="1" t="s">
        <v>7</v>
      </c>
      <c r="F217" s="1" t="s">
        <v>14</v>
      </c>
      <c r="G217">
        <v>47310</v>
      </c>
      <c r="H217">
        <v>100204</v>
      </c>
      <c r="I217" s="8"/>
      <c r="J217" s="22">
        <v>0.40277777777777773</v>
      </c>
      <c r="K217" s="22">
        <v>9.930555555555555E-2</v>
      </c>
      <c r="L217" s="4"/>
      <c r="M217" s="4"/>
      <c r="N217" t="s">
        <v>1091</v>
      </c>
      <c r="O217" s="4"/>
      <c r="P217" t="s">
        <v>172</v>
      </c>
      <c r="Q217">
        <v>2</v>
      </c>
    </row>
    <row r="218" spans="1:17" ht="14.25" customHeight="1" x14ac:dyDescent="0.25">
      <c r="A218" s="4"/>
      <c r="B218" s="21">
        <v>44203</v>
      </c>
      <c r="C218" s="5">
        <f t="shared" si="6"/>
        <v>2</v>
      </c>
      <c r="D218" s="5">
        <f t="shared" si="7"/>
        <v>5</v>
      </c>
      <c r="E218" s="1" t="s">
        <v>5</v>
      </c>
      <c r="F218" s="1" t="s">
        <v>20</v>
      </c>
      <c r="G218">
        <v>47311</v>
      </c>
      <c r="H218">
        <v>100206</v>
      </c>
      <c r="I218" s="8"/>
      <c r="J218" s="22">
        <v>0.36388888888888887</v>
      </c>
      <c r="K218" s="22">
        <v>4.2361111111111106E-2</v>
      </c>
      <c r="L218" s="4"/>
      <c r="M218" s="4"/>
      <c r="N218" t="s">
        <v>1092</v>
      </c>
      <c r="O218" s="4"/>
      <c r="P218" t="s">
        <v>254</v>
      </c>
      <c r="Q218">
        <v>16</v>
      </c>
    </row>
    <row r="219" spans="1:17" ht="14.25" customHeight="1" x14ac:dyDescent="0.25">
      <c r="A219" s="4"/>
      <c r="B219" s="21">
        <v>44203</v>
      </c>
      <c r="C219" s="5">
        <f t="shared" si="6"/>
        <v>2</v>
      </c>
      <c r="D219" s="5">
        <f t="shared" si="7"/>
        <v>5</v>
      </c>
      <c r="E219" s="1" t="s">
        <v>6</v>
      </c>
      <c r="F219" s="1" t="s">
        <v>11</v>
      </c>
      <c r="G219">
        <v>47311</v>
      </c>
      <c r="H219">
        <v>100207</v>
      </c>
      <c r="I219" s="8"/>
      <c r="J219" s="22">
        <v>0.25138888888888888</v>
      </c>
      <c r="K219" s="22">
        <v>0.10277777777777779</v>
      </c>
      <c r="L219" s="4"/>
      <c r="M219" s="4"/>
      <c r="N219" t="s">
        <v>1093</v>
      </c>
      <c r="O219" s="4"/>
      <c r="P219" t="s">
        <v>255</v>
      </c>
      <c r="Q219">
        <v>5</v>
      </c>
    </row>
    <row r="220" spans="1:17" ht="14.25" customHeight="1" x14ac:dyDescent="0.25">
      <c r="A220" s="4"/>
      <c r="B220" s="21">
        <v>44203</v>
      </c>
      <c r="C220" s="5">
        <f t="shared" si="6"/>
        <v>2</v>
      </c>
      <c r="D220" s="5">
        <f t="shared" si="7"/>
        <v>5</v>
      </c>
      <c r="E220" s="1" t="s">
        <v>7</v>
      </c>
      <c r="F220" s="1" t="s">
        <v>14</v>
      </c>
      <c r="G220">
        <v>47312</v>
      </c>
      <c r="H220">
        <v>100208</v>
      </c>
      <c r="I220" s="4"/>
      <c r="J220" s="22">
        <v>0.42708333333333331</v>
      </c>
      <c r="K220" s="22">
        <v>0.11805555555555557</v>
      </c>
      <c r="L220" s="4"/>
      <c r="M220" s="4"/>
      <c r="N220" t="s">
        <v>1094</v>
      </c>
      <c r="O220" s="4"/>
      <c r="P220" t="s">
        <v>256</v>
      </c>
      <c r="Q220">
        <v>28</v>
      </c>
    </row>
    <row r="221" spans="1:17" ht="14.25" customHeight="1" x14ac:dyDescent="0.25">
      <c r="A221" s="4"/>
      <c r="B221" s="21">
        <v>44203</v>
      </c>
      <c r="C221" s="5">
        <f t="shared" si="6"/>
        <v>2</v>
      </c>
      <c r="D221" s="5">
        <f t="shared" si="7"/>
        <v>5</v>
      </c>
      <c r="E221" s="1" t="s">
        <v>7</v>
      </c>
      <c r="F221" s="1" t="s">
        <v>14</v>
      </c>
      <c r="G221">
        <v>47312</v>
      </c>
      <c r="H221">
        <v>100210</v>
      </c>
      <c r="I221" s="4"/>
      <c r="J221" s="22">
        <v>0.44166666666666665</v>
      </c>
      <c r="K221" s="22">
        <v>1.5277777777777777E-2</v>
      </c>
      <c r="L221" s="4"/>
      <c r="M221" s="4"/>
      <c r="N221" t="s">
        <v>1095</v>
      </c>
      <c r="O221" s="4"/>
      <c r="P221" t="s">
        <v>257</v>
      </c>
      <c r="Q221">
        <v>3</v>
      </c>
    </row>
    <row r="222" spans="1:17" ht="14.25" customHeight="1" x14ac:dyDescent="0.25">
      <c r="A222" s="4"/>
      <c r="B222" s="21">
        <v>44203</v>
      </c>
      <c r="C222" s="5">
        <f t="shared" si="6"/>
        <v>2</v>
      </c>
      <c r="D222" s="5">
        <f t="shared" si="7"/>
        <v>5</v>
      </c>
      <c r="E222" s="1" t="s">
        <v>5</v>
      </c>
      <c r="F222" s="1" t="s">
        <v>18</v>
      </c>
      <c r="G222">
        <v>47313</v>
      </c>
      <c r="H222">
        <v>100210</v>
      </c>
      <c r="I222" s="4"/>
      <c r="J222" s="22">
        <v>0.33402777777777781</v>
      </c>
      <c r="K222" s="22">
        <v>0.41944444444444445</v>
      </c>
      <c r="L222" s="4"/>
      <c r="M222" s="4"/>
      <c r="N222" t="s">
        <v>1096</v>
      </c>
      <c r="O222" s="4"/>
      <c r="P222" t="s">
        <v>175</v>
      </c>
      <c r="Q222">
        <v>15</v>
      </c>
    </row>
    <row r="223" spans="1:17" ht="14.25" customHeight="1" x14ac:dyDescent="0.25">
      <c r="A223" s="4"/>
      <c r="B223" s="21">
        <v>44203</v>
      </c>
      <c r="C223" s="5">
        <f t="shared" si="6"/>
        <v>2</v>
      </c>
      <c r="D223" s="5">
        <f t="shared" si="7"/>
        <v>5</v>
      </c>
      <c r="E223" s="1" t="s">
        <v>7</v>
      </c>
      <c r="F223" s="1" t="s">
        <v>16</v>
      </c>
      <c r="G223">
        <v>47314</v>
      </c>
      <c r="H223">
        <v>100210</v>
      </c>
      <c r="I223" s="4"/>
      <c r="J223" s="22">
        <v>0.40416666666666662</v>
      </c>
      <c r="K223" s="22">
        <v>0.91041666666666676</v>
      </c>
      <c r="L223" s="4"/>
      <c r="M223" s="4"/>
      <c r="N223" t="s">
        <v>1097</v>
      </c>
      <c r="O223" s="4"/>
      <c r="P223" t="s">
        <v>258</v>
      </c>
      <c r="Q223">
        <v>19</v>
      </c>
    </row>
    <row r="224" spans="1:17" ht="14.25" customHeight="1" x14ac:dyDescent="0.25">
      <c r="A224" s="4"/>
      <c r="B224" s="21">
        <v>44203</v>
      </c>
      <c r="C224" s="5">
        <f t="shared" si="6"/>
        <v>2</v>
      </c>
      <c r="D224" s="5">
        <f t="shared" si="7"/>
        <v>5</v>
      </c>
      <c r="E224" s="1" t="s">
        <v>6</v>
      </c>
      <c r="F224" s="1" t="s">
        <v>13</v>
      </c>
      <c r="G224">
        <v>47315</v>
      </c>
      <c r="H224">
        <v>100212</v>
      </c>
      <c r="I224" s="4"/>
      <c r="J224" s="22">
        <v>0.36874999999999997</v>
      </c>
      <c r="K224" s="22">
        <v>0.30208333333333331</v>
      </c>
      <c r="L224" s="4"/>
      <c r="M224" s="4"/>
      <c r="N224" t="s">
        <v>1098</v>
      </c>
      <c r="O224" s="4"/>
      <c r="P224" t="s">
        <v>259</v>
      </c>
      <c r="Q224">
        <v>8</v>
      </c>
    </row>
    <row r="225" spans="1:17" ht="14.25" customHeight="1" x14ac:dyDescent="0.25">
      <c r="A225" s="4"/>
      <c r="B225" s="21">
        <v>44203</v>
      </c>
      <c r="C225" s="5">
        <f t="shared" si="6"/>
        <v>2</v>
      </c>
      <c r="D225" s="5">
        <f t="shared" si="7"/>
        <v>5</v>
      </c>
      <c r="E225" s="1" t="s">
        <v>7</v>
      </c>
      <c r="F225" s="1" t="s">
        <v>15</v>
      </c>
      <c r="G225">
        <v>47320</v>
      </c>
      <c r="H225">
        <v>100212</v>
      </c>
      <c r="I225" s="4"/>
      <c r="J225" s="22">
        <v>0.29791666666666666</v>
      </c>
      <c r="K225" s="22">
        <v>0.35902777777777778</v>
      </c>
      <c r="L225" s="4"/>
      <c r="M225" s="4"/>
      <c r="N225" t="s">
        <v>1099</v>
      </c>
      <c r="O225" s="4"/>
      <c r="P225" t="s">
        <v>260</v>
      </c>
      <c r="Q225">
        <v>31</v>
      </c>
    </row>
    <row r="226" spans="1:17" ht="14.25" customHeight="1" x14ac:dyDescent="0.25">
      <c r="A226" s="4"/>
      <c r="B226" s="21">
        <v>44203</v>
      </c>
      <c r="C226" s="5">
        <f t="shared" si="6"/>
        <v>2</v>
      </c>
      <c r="D226" s="5">
        <f t="shared" si="7"/>
        <v>5</v>
      </c>
      <c r="E226" s="1" t="s">
        <v>7</v>
      </c>
      <c r="F226" s="1" t="s">
        <v>16</v>
      </c>
      <c r="G226">
        <v>47321</v>
      </c>
      <c r="H226">
        <v>100213</v>
      </c>
      <c r="I226" s="4"/>
      <c r="J226" s="22">
        <v>0.38541666666666669</v>
      </c>
      <c r="K226" s="22">
        <v>0.74722222222222223</v>
      </c>
      <c r="L226" s="4"/>
      <c r="M226" s="4"/>
      <c r="N226" t="s">
        <v>1100</v>
      </c>
      <c r="O226" s="4"/>
      <c r="P226" t="s">
        <v>261</v>
      </c>
      <c r="Q226">
        <v>5</v>
      </c>
    </row>
    <row r="227" spans="1:17" ht="14.25" customHeight="1" x14ac:dyDescent="0.25">
      <c r="A227" s="4"/>
      <c r="B227" s="21">
        <v>44203</v>
      </c>
      <c r="C227" s="5">
        <f t="shared" si="6"/>
        <v>2</v>
      </c>
      <c r="D227" s="5">
        <f t="shared" si="7"/>
        <v>5</v>
      </c>
      <c r="E227" s="1" t="s">
        <v>5</v>
      </c>
      <c r="F227" s="1" t="s">
        <v>18</v>
      </c>
      <c r="G227">
        <v>47324</v>
      </c>
      <c r="H227">
        <v>100214</v>
      </c>
      <c r="I227" s="4"/>
      <c r="J227" s="22">
        <v>0.42569444444444443</v>
      </c>
      <c r="K227" s="22">
        <v>0.12152777777777778</v>
      </c>
      <c r="L227" s="4"/>
      <c r="M227" s="4"/>
      <c r="N227" t="s">
        <v>1101</v>
      </c>
      <c r="O227" s="4"/>
      <c r="P227" t="s">
        <v>262</v>
      </c>
      <c r="Q227">
        <v>18</v>
      </c>
    </row>
    <row r="228" spans="1:17" ht="14.25" customHeight="1" x14ac:dyDescent="0.25">
      <c r="A228" s="4"/>
      <c r="B228" s="21">
        <v>44203</v>
      </c>
      <c r="C228" s="5">
        <f t="shared" si="6"/>
        <v>2</v>
      </c>
      <c r="D228" s="5">
        <f t="shared" si="7"/>
        <v>5</v>
      </c>
      <c r="E228" s="1" t="s">
        <v>7</v>
      </c>
      <c r="F228" s="1" t="s">
        <v>16</v>
      </c>
      <c r="G228">
        <v>47326</v>
      </c>
      <c r="H228">
        <v>100215</v>
      </c>
      <c r="I228" s="4"/>
      <c r="J228" s="22">
        <v>0.33124999999999999</v>
      </c>
      <c r="K228" s="22">
        <v>4.7222222222222221E-2</v>
      </c>
      <c r="L228" s="4"/>
      <c r="M228" s="4"/>
      <c r="N228" t="s">
        <v>1102</v>
      </c>
      <c r="O228" s="4"/>
      <c r="P228" t="s">
        <v>263</v>
      </c>
      <c r="Q228">
        <v>12</v>
      </c>
    </row>
    <row r="229" spans="1:17" ht="14.25" customHeight="1" x14ac:dyDescent="0.25">
      <c r="A229" s="4"/>
      <c r="B229" s="21">
        <v>44203</v>
      </c>
      <c r="C229" s="5">
        <f t="shared" si="6"/>
        <v>2</v>
      </c>
      <c r="D229" s="5">
        <f t="shared" si="7"/>
        <v>5</v>
      </c>
      <c r="E229" s="1" t="s">
        <v>5</v>
      </c>
      <c r="F229" s="1" t="s">
        <v>17</v>
      </c>
      <c r="G229">
        <v>47327</v>
      </c>
      <c r="H229">
        <v>100217</v>
      </c>
      <c r="I229" s="4"/>
      <c r="J229" s="22">
        <v>0.38055555555555554</v>
      </c>
      <c r="K229" s="22">
        <v>0.52430555555555558</v>
      </c>
      <c r="L229" s="4"/>
      <c r="M229" s="4"/>
      <c r="N229" t="s">
        <v>1103</v>
      </c>
      <c r="O229" s="4"/>
      <c r="P229" t="s">
        <v>264</v>
      </c>
      <c r="Q229">
        <v>12</v>
      </c>
    </row>
    <row r="230" spans="1:17" ht="14.25" customHeight="1" x14ac:dyDescent="0.25">
      <c r="A230" s="4"/>
      <c r="B230" s="21">
        <v>44203</v>
      </c>
      <c r="C230" s="5">
        <f t="shared" si="6"/>
        <v>2</v>
      </c>
      <c r="D230" s="5">
        <f t="shared" si="7"/>
        <v>5</v>
      </c>
      <c r="E230" s="1" t="s">
        <v>5</v>
      </c>
      <c r="F230" s="1" t="s">
        <v>20</v>
      </c>
      <c r="G230">
        <v>47328</v>
      </c>
      <c r="H230">
        <v>100218</v>
      </c>
      <c r="I230" s="4"/>
      <c r="J230" s="22">
        <v>0.43472222222222223</v>
      </c>
      <c r="K230" s="22">
        <v>0.73472222222222217</v>
      </c>
      <c r="L230" s="4"/>
      <c r="M230" s="4"/>
      <c r="N230" t="s">
        <v>1104</v>
      </c>
      <c r="O230" s="4"/>
      <c r="P230" t="s">
        <v>265</v>
      </c>
      <c r="Q230">
        <v>31</v>
      </c>
    </row>
    <row r="231" spans="1:17" ht="14.25" customHeight="1" x14ac:dyDescent="0.25">
      <c r="A231" s="4"/>
      <c r="B231" s="21">
        <v>44203</v>
      </c>
      <c r="C231" s="5">
        <f t="shared" si="6"/>
        <v>2</v>
      </c>
      <c r="D231" s="5">
        <f t="shared" si="7"/>
        <v>5</v>
      </c>
      <c r="E231" s="1" t="s">
        <v>5</v>
      </c>
      <c r="F231" s="1" t="s">
        <v>18</v>
      </c>
      <c r="G231">
        <v>47329</v>
      </c>
      <c r="H231">
        <v>100221</v>
      </c>
      <c r="I231" s="4"/>
      <c r="J231" s="22">
        <v>0.30277777777777776</v>
      </c>
      <c r="K231" s="22">
        <v>0.70208333333333339</v>
      </c>
      <c r="L231" s="4"/>
      <c r="M231" s="4"/>
      <c r="N231" t="s">
        <v>1105</v>
      </c>
      <c r="O231" s="4"/>
      <c r="P231" t="s">
        <v>266</v>
      </c>
      <c r="Q231">
        <v>16</v>
      </c>
    </row>
    <row r="232" spans="1:17" ht="14.25" customHeight="1" x14ac:dyDescent="0.25">
      <c r="A232" s="4"/>
      <c r="B232" s="21">
        <v>44203</v>
      </c>
      <c r="C232" s="5">
        <f t="shared" si="6"/>
        <v>2</v>
      </c>
      <c r="D232" s="5">
        <f t="shared" si="7"/>
        <v>5</v>
      </c>
      <c r="E232" s="1" t="s">
        <v>7</v>
      </c>
      <c r="F232" s="1" t="s">
        <v>16</v>
      </c>
      <c r="G232">
        <v>47329</v>
      </c>
      <c r="H232">
        <v>100223</v>
      </c>
      <c r="I232" s="4"/>
      <c r="J232" s="22">
        <v>0.30763888888888891</v>
      </c>
      <c r="K232" s="22">
        <v>0.90208333333333324</v>
      </c>
      <c r="L232" s="4"/>
      <c r="M232" s="4"/>
      <c r="N232" t="s">
        <v>1106</v>
      </c>
      <c r="O232" s="4"/>
      <c r="P232" t="s">
        <v>267</v>
      </c>
      <c r="Q232">
        <v>26</v>
      </c>
    </row>
    <row r="233" spans="1:17" ht="14.25" customHeight="1" x14ac:dyDescent="0.25">
      <c r="A233" s="4"/>
      <c r="B233" s="21">
        <v>44203</v>
      </c>
      <c r="C233" s="5">
        <f t="shared" si="6"/>
        <v>2</v>
      </c>
      <c r="D233" s="5">
        <f t="shared" si="7"/>
        <v>5</v>
      </c>
      <c r="E233" s="1" t="s">
        <v>6</v>
      </c>
      <c r="F233" s="1" t="s">
        <v>11</v>
      </c>
      <c r="G233">
        <v>47331</v>
      </c>
      <c r="H233">
        <v>100223</v>
      </c>
      <c r="I233" s="4"/>
      <c r="J233" s="22">
        <v>0.4145833333333333</v>
      </c>
      <c r="K233" s="22">
        <v>0.47847222222222219</v>
      </c>
      <c r="L233" s="4"/>
      <c r="M233" s="4"/>
      <c r="N233" t="s">
        <v>1107</v>
      </c>
      <c r="O233" s="4"/>
      <c r="P233" t="s">
        <v>268</v>
      </c>
      <c r="Q233">
        <v>27</v>
      </c>
    </row>
    <row r="234" spans="1:17" ht="14.25" customHeight="1" x14ac:dyDescent="0.25">
      <c r="A234" s="4"/>
      <c r="B234" s="21">
        <v>44203</v>
      </c>
      <c r="C234" s="5">
        <f t="shared" si="6"/>
        <v>2</v>
      </c>
      <c r="D234" s="5">
        <f t="shared" si="7"/>
        <v>5</v>
      </c>
      <c r="E234" s="1" t="s">
        <v>5</v>
      </c>
      <c r="F234" s="1" t="s">
        <v>20</v>
      </c>
      <c r="G234">
        <v>47333</v>
      </c>
      <c r="H234">
        <v>100225</v>
      </c>
      <c r="I234" s="4"/>
      <c r="J234" s="22">
        <v>0.38541666666666669</v>
      </c>
      <c r="K234" s="22">
        <v>0.62430555555555556</v>
      </c>
      <c r="L234" s="4"/>
      <c r="M234" s="4"/>
      <c r="N234" t="s">
        <v>1108</v>
      </c>
      <c r="O234" s="4"/>
      <c r="P234" t="s">
        <v>269</v>
      </c>
      <c r="Q234">
        <v>13</v>
      </c>
    </row>
    <row r="235" spans="1:17" ht="14.25" customHeight="1" x14ac:dyDescent="0.25">
      <c r="A235" s="4"/>
      <c r="B235" s="21">
        <v>44203</v>
      </c>
      <c r="C235" s="5">
        <f t="shared" si="6"/>
        <v>2</v>
      </c>
      <c r="D235" s="5">
        <f t="shared" si="7"/>
        <v>5</v>
      </c>
      <c r="E235" s="1" t="s">
        <v>7</v>
      </c>
      <c r="F235" s="1" t="s">
        <v>15</v>
      </c>
      <c r="G235">
        <v>47335</v>
      </c>
      <c r="H235">
        <v>100228</v>
      </c>
      <c r="I235" s="8"/>
      <c r="J235" s="22">
        <v>0.44791666666666669</v>
      </c>
      <c r="K235" s="22">
        <v>0.25069444444444444</v>
      </c>
      <c r="L235" s="4"/>
      <c r="M235" s="4"/>
      <c r="N235" t="s">
        <v>1109</v>
      </c>
      <c r="O235" s="4"/>
      <c r="P235" t="s">
        <v>270</v>
      </c>
      <c r="Q235">
        <v>3</v>
      </c>
    </row>
    <row r="236" spans="1:17" ht="14.25" customHeight="1" x14ac:dyDescent="0.25">
      <c r="A236" s="4"/>
      <c r="B236" s="21">
        <v>44203</v>
      </c>
      <c r="C236" s="5">
        <f t="shared" si="6"/>
        <v>2</v>
      </c>
      <c r="D236" s="5">
        <f t="shared" si="7"/>
        <v>5</v>
      </c>
      <c r="E236" s="1" t="s">
        <v>6</v>
      </c>
      <c r="F236" s="1" t="s">
        <v>11</v>
      </c>
      <c r="G236">
        <v>47337</v>
      </c>
      <c r="H236">
        <v>100230</v>
      </c>
      <c r="I236" s="8"/>
      <c r="J236" s="22">
        <v>0.38055555555555554</v>
      </c>
      <c r="K236" s="22">
        <v>0.32847222222222222</v>
      </c>
      <c r="L236" s="4"/>
      <c r="M236" s="4"/>
      <c r="N236" t="s">
        <v>1110</v>
      </c>
      <c r="O236" s="4"/>
      <c r="P236" t="s">
        <v>271</v>
      </c>
      <c r="Q236">
        <v>5</v>
      </c>
    </row>
    <row r="237" spans="1:17" ht="14.25" customHeight="1" x14ac:dyDescent="0.25">
      <c r="A237" s="4"/>
      <c r="B237" s="21">
        <v>44203</v>
      </c>
      <c r="C237" s="5">
        <f t="shared" si="6"/>
        <v>2</v>
      </c>
      <c r="D237" s="5">
        <f t="shared" si="7"/>
        <v>5</v>
      </c>
      <c r="E237" s="1" t="s">
        <v>5</v>
      </c>
      <c r="F237" s="1" t="s">
        <v>19</v>
      </c>
      <c r="G237">
        <v>47339</v>
      </c>
      <c r="H237">
        <v>100230</v>
      </c>
      <c r="I237" s="4"/>
      <c r="J237" s="22">
        <v>0.30972222222222223</v>
      </c>
      <c r="K237" s="22">
        <v>0.8666666666666667</v>
      </c>
      <c r="L237" s="4"/>
      <c r="M237" s="4"/>
      <c r="N237" t="s">
        <v>1111</v>
      </c>
      <c r="O237" s="4"/>
      <c r="P237" t="s">
        <v>272</v>
      </c>
      <c r="Q237">
        <v>28</v>
      </c>
    </row>
    <row r="238" spans="1:17" ht="14.25" customHeight="1" x14ac:dyDescent="0.25">
      <c r="A238" s="4"/>
      <c r="B238" s="21">
        <v>44203</v>
      </c>
      <c r="C238" s="5">
        <f t="shared" si="6"/>
        <v>2</v>
      </c>
      <c r="D238" s="5">
        <f t="shared" si="7"/>
        <v>5</v>
      </c>
      <c r="E238" s="1" t="s">
        <v>6</v>
      </c>
      <c r="F238" s="1" t="s">
        <v>13</v>
      </c>
      <c r="G238">
        <v>47339</v>
      </c>
      <c r="H238">
        <v>100231</v>
      </c>
      <c r="I238" s="4"/>
      <c r="J238" s="22">
        <v>0.46111111111111108</v>
      </c>
      <c r="K238" s="22">
        <v>0.60486111111111118</v>
      </c>
      <c r="L238" s="4"/>
      <c r="M238" s="4"/>
      <c r="N238" t="s">
        <v>1112</v>
      </c>
      <c r="O238" s="4"/>
      <c r="P238" t="s">
        <v>273</v>
      </c>
      <c r="Q238">
        <v>25</v>
      </c>
    </row>
    <row r="239" spans="1:17" ht="14.25" customHeight="1" x14ac:dyDescent="0.25">
      <c r="A239" s="4"/>
      <c r="B239" s="21">
        <v>44203</v>
      </c>
      <c r="C239" s="5">
        <f t="shared" si="6"/>
        <v>2</v>
      </c>
      <c r="D239" s="5">
        <f t="shared" si="7"/>
        <v>5</v>
      </c>
      <c r="E239" s="1" t="s">
        <v>5</v>
      </c>
      <c r="F239" s="1" t="s">
        <v>19</v>
      </c>
      <c r="G239">
        <v>47340</v>
      </c>
      <c r="H239">
        <v>100231</v>
      </c>
      <c r="I239" s="4"/>
      <c r="J239" s="22">
        <v>0.25208333333333333</v>
      </c>
      <c r="K239" s="22">
        <v>4.5833333333333337E-2</v>
      </c>
      <c r="L239" s="4"/>
      <c r="M239" s="4"/>
      <c r="N239" t="s">
        <v>1113</v>
      </c>
      <c r="O239" s="4"/>
      <c r="P239" t="s">
        <v>114</v>
      </c>
      <c r="Q239">
        <v>19</v>
      </c>
    </row>
    <row r="240" spans="1:17" ht="14.25" customHeight="1" x14ac:dyDescent="0.25">
      <c r="A240" s="4"/>
      <c r="B240" s="21">
        <v>44203</v>
      </c>
      <c r="C240" s="5">
        <f t="shared" si="6"/>
        <v>2</v>
      </c>
      <c r="D240" s="5">
        <f t="shared" si="7"/>
        <v>5</v>
      </c>
      <c r="E240" s="1" t="s">
        <v>7</v>
      </c>
      <c r="F240" s="1" t="s">
        <v>15</v>
      </c>
      <c r="G240">
        <v>47340</v>
      </c>
      <c r="H240">
        <v>100232</v>
      </c>
      <c r="I240" s="4"/>
      <c r="J240" s="22">
        <v>0.36527777777777781</v>
      </c>
      <c r="K240" s="22">
        <v>0.21388888888888891</v>
      </c>
      <c r="L240" s="4"/>
      <c r="M240" s="4"/>
      <c r="N240" t="s">
        <v>1114</v>
      </c>
      <c r="O240" s="4"/>
      <c r="P240" t="s">
        <v>274</v>
      </c>
      <c r="Q240">
        <v>32</v>
      </c>
    </row>
    <row r="241" spans="1:17" ht="14.25" customHeight="1" x14ac:dyDescent="0.25">
      <c r="A241" s="4"/>
      <c r="B241" s="21">
        <v>44204</v>
      </c>
      <c r="C241" s="5">
        <f t="shared" si="6"/>
        <v>2</v>
      </c>
      <c r="D241" s="5">
        <f t="shared" si="7"/>
        <v>6</v>
      </c>
      <c r="E241" s="1" t="s">
        <v>7</v>
      </c>
      <c r="F241" s="1" t="s">
        <v>16</v>
      </c>
      <c r="G241">
        <v>47342</v>
      </c>
      <c r="H241">
        <v>100232</v>
      </c>
      <c r="I241" s="4"/>
      <c r="J241" s="22">
        <v>0.25486111111111109</v>
      </c>
      <c r="K241" s="22">
        <v>0.55625000000000002</v>
      </c>
      <c r="L241" s="4"/>
      <c r="M241" s="4"/>
      <c r="N241" t="s">
        <v>1115</v>
      </c>
      <c r="O241" s="4"/>
      <c r="P241" t="s">
        <v>85</v>
      </c>
      <c r="Q241">
        <v>27</v>
      </c>
    </row>
    <row r="242" spans="1:17" ht="14.25" customHeight="1" x14ac:dyDescent="0.25">
      <c r="A242" s="4"/>
      <c r="B242" s="21">
        <v>44204</v>
      </c>
      <c r="C242" s="5">
        <f t="shared" si="6"/>
        <v>2</v>
      </c>
      <c r="D242" s="5">
        <f t="shared" si="7"/>
        <v>6</v>
      </c>
      <c r="E242" s="1" t="s">
        <v>5</v>
      </c>
      <c r="F242" s="1" t="s">
        <v>20</v>
      </c>
      <c r="G242">
        <v>47343</v>
      </c>
      <c r="H242">
        <v>100232</v>
      </c>
      <c r="I242" s="4"/>
      <c r="J242" s="22">
        <v>0.37708333333333338</v>
      </c>
      <c r="K242" s="22">
        <v>0.94930555555555562</v>
      </c>
      <c r="L242" s="4"/>
      <c r="M242" s="4"/>
      <c r="N242" t="s">
        <v>1116</v>
      </c>
      <c r="O242" s="4"/>
      <c r="P242" t="s">
        <v>275</v>
      </c>
      <c r="Q242">
        <v>17</v>
      </c>
    </row>
    <row r="243" spans="1:17" ht="14.25" customHeight="1" x14ac:dyDescent="0.25">
      <c r="A243" s="4"/>
      <c r="B243" s="21">
        <v>44204</v>
      </c>
      <c r="C243" s="5">
        <f t="shared" si="6"/>
        <v>2</v>
      </c>
      <c r="D243" s="5">
        <f t="shared" si="7"/>
        <v>6</v>
      </c>
      <c r="E243" s="1" t="s">
        <v>6</v>
      </c>
      <c r="F243" s="1" t="s">
        <v>12</v>
      </c>
      <c r="G243">
        <v>47344</v>
      </c>
      <c r="H243">
        <v>100233</v>
      </c>
      <c r="I243" s="4"/>
      <c r="J243" s="22">
        <v>0.30069444444444443</v>
      </c>
      <c r="K243" s="22">
        <v>7.4999999999999997E-2</v>
      </c>
      <c r="L243" s="4"/>
      <c r="M243" s="4"/>
      <c r="N243" t="s">
        <v>1117</v>
      </c>
      <c r="O243" s="4"/>
      <c r="P243" t="s">
        <v>127</v>
      </c>
      <c r="Q243">
        <v>29</v>
      </c>
    </row>
    <row r="244" spans="1:17" ht="14.25" customHeight="1" x14ac:dyDescent="0.25">
      <c r="A244" s="4"/>
      <c r="B244" s="21">
        <v>44204</v>
      </c>
      <c r="C244" s="5">
        <f t="shared" si="6"/>
        <v>2</v>
      </c>
      <c r="D244" s="5">
        <f t="shared" si="7"/>
        <v>6</v>
      </c>
      <c r="E244" s="1" t="s">
        <v>5</v>
      </c>
      <c r="F244" s="1" t="s">
        <v>17</v>
      </c>
      <c r="G244">
        <v>47344</v>
      </c>
      <c r="H244">
        <v>100236</v>
      </c>
      <c r="I244" s="4"/>
      <c r="J244" s="22">
        <v>0.32847222222222222</v>
      </c>
      <c r="K244" s="22">
        <v>0.62638888888888888</v>
      </c>
      <c r="L244" s="4"/>
      <c r="M244" s="4"/>
      <c r="N244" t="s">
        <v>1118</v>
      </c>
      <c r="O244" s="4"/>
      <c r="P244" t="s">
        <v>276</v>
      </c>
      <c r="Q244">
        <v>31</v>
      </c>
    </row>
    <row r="245" spans="1:17" ht="14.25" customHeight="1" x14ac:dyDescent="0.25">
      <c r="A245" s="4"/>
      <c r="B245" s="21">
        <v>44204</v>
      </c>
      <c r="C245" s="5">
        <f t="shared" si="6"/>
        <v>2</v>
      </c>
      <c r="D245" s="5">
        <f t="shared" si="7"/>
        <v>6</v>
      </c>
      <c r="E245" s="1" t="s">
        <v>7</v>
      </c>
      <c r="F245" s="1" t="s">
        <v>14</v>
      </c>
      <c r="G245">
        <v>47344</v>
      </c>
      <c r="H245">
        <v>100237</v>
      </c>
      <c r="I245" s="4"/>
      <c r="J245" s="22">
        <v>0.4548611111111111</v>
      </c>
      <c r="K245" s="22">
        <v>0.95486111111111116</v>
      </c>
      <c r="L245" s="4"/>
      <c r="M245" s="4"/>
      <c r="N245" t="s">
        <v>1119</v>
      </c>
      <c r="O245" s="4"/>
      <c r="P245" t="s">
        <v>277</v>
      </c>
      <c r="Q245">
        <v>30</v>
      </c>
    </row>
    <row r="246" spans="1:17" ht="14.25" customHeight="1" x14ac:dyDescent="0.25">
      <c r="A246" s="4"/>
      <c r="B246" s="21">
        <v>44204</v>
      </c>
      <c r="C246" s="5">
        <f t="shared" si="6"/>
        <v>2</v>
      </c>
      <c r="D246" s="5">
        <f t="shared" si="7"/>
        <v>6</v>
      </c>
      <c r="E246" s="1" t="s">
        <v>6</v>
      </c>
      <c r="F246" s="1" t="s">
        <v>13</v>
      </c>
      <c r="G246">
        <v>47346</v>
      </c>
      <c r="H246">
        <v>100239</v>
      </c>
      <c r="I246" s="4"/>
      <c r="J246" s="22">
        <v>0.42499999999999999</v>
      </c>
      <c r="K246" s="22">
        <v>0.7895833333333333</v>
      </c>
      <c r="L246" s="4"/>
      <c r="M246" s="4"/>
      <c r="N246" t="s">
        <v>1120</v>
      </c>
      <c r="O246" s="4"/>
      <c r="P246" t="s">
        <v>278</v>
      </c>
      <c r="Q246">
        <v>32</v>
      </c>
    </row>
    <row r="247" spans="1:17" ht="14.25" customHeight="1" x14ac:dyDescent="0.25">
      <c r="A247" s="4"/>
      <c r="B247" s="21">
        <v>44204</v>
      </c>
      <c r="C247" s="5">
        <f t="shared" si="6"/>
        <v>2</v>
      </c>
      <c r="D247" s="5">
        <f t="shared" si="7"/>
        <v>6</v>
      </c>
      <c r="E247" s="1" t="s">
        <v>6</v>
      </c>
      <c r="F247" s="1" t="s">
        <v>12</v>
      </c>
      <c r="G247">
        <v>47347</v>
      </c>
      <c r="H247">
        <v>100241</v>
      </c>
      <c r="I247" s="4"/>
      <c r="J247" s="22">
        <v>0.29444444444444445</v>
      </c>
      <c r="K247" s="22">
        <v>0.67569444444444438</v>
      </c>
      <c r="L247" s="4"/>
      <c r="M247" s="4"/>
      <c r="N247" t="s">
        <v>1121</v>
      </c>
      <c r="O247" s="4"/>
      <c r="P247" t="s">
        <v>279</v>
      </c>
      <c r="Q247">
        <v>22</v>
      </c>
    </row>
    <row r="248" spans="1:17" ht="14.25" customHeight="1" x14ac:dyDescent="0.25">
      <c r="A248" s="4"/>
      <c r="B248" s="21">
        <v>44204</v>
      </c>
      <c r="C248" s="5">
        <f t="shared" si="6"/>
        <v>2</v>
      </c>
      <c r="D248" s="5">
        <f t="shared" si="7"/>
        <v>6</v>
      </c>
      <c r="E248" s="1" t="s">
        <v>7</v>
      </c>
      <c r="F248" s="1" t="s">
        <v>15</v>
      </c>
      <c r="G248">
        <v>47349</v>
      </c>
      <c r="H248">
        <v>100242</v>
      </c>
      <c r="I248" s="4"/>
      <c r="J248" s="22">
        <v>0.28958333333333336</v>
      </c>
      <c r="K248" s="22">
        <v>0.87152777777777779</v>
      </c>
      <c r="L248" s="4"/>
      <c r="M248" s="4"/>
      <c r="N248" t="s">
        <v>1122</v>
      </c>
      <c r="O248" s="4"/>
      <c r="P248" t="s">
        <v>280</v>
      </c>
      <c r="Q248">
        <v>13</v>
      </c>
    </row>
    <row r="249" spans="1:17" ht="14.25" customHeight="1" x14ac:dyDescent="0.25">
      <c r="A249" s="4"/>
      <c r="B249" s="21">
        <v>44204</v>
      </c>
      <c r="C249" s="5">
        <f t="shared" si="6"/>
        <v>2</v>
      </c>
      <c r="D249" s="5">
        <f t="shared" si="7"/>
        <v>6</v>
      </c>
      <c r="E249" s="1" t="s">
        <v>7</v>
      </c>
      <c r="F249" s="1" t="s">
        <v>15</v>
      </c>
      <c r="G249">
        <v>47350</v>
      </c>
      <c r="H249">
        <v>100243</v>
      </c>
      <c r="I249" s="4"/>
      <c r="J249" s="22">
        <v>0.35694444444444445</v>
      </c>
      <c r="K249" s="22">
        <v>0.52569444444444446</v>
      </c>
      <c r="L249" s="4"/>
      <c r="M249" s="4"/>
      <c r="N249" t="s">
        <v>1123</v>
      </c>
      <c r="O249" s="4"/>
      <c r="P249" t="s">
        <v>281</v>
      </c>
      <c r="Q249">
        <v>13</v>
      </c>
    </row>
    <row r="250" spans="1:17" ht="14.25" customHeight="1" x14ac:dyDescent="0.25">
      <c r="A250" s="4"/>
      <c r="B250" s="21">
        <v>44204</v>
      </c>
      <c r="C250" s="5">
        <f t="shared" si="6"/>
        <v>2</v>
      </c>
      <c r="D250" s="5">
        <f t="shared" si="7"/>
        <v>6</v>
      </c>
      <c r="E250" s="1" t="s">
        <v>6</v>
      </c>
      <c r="F250" s="1" t="s">
        <v>13</v>
      </c>
      <c r="G250">
        <v>47354</v>
      </c>
      <c r="H250">
        <v>100246</v>
      </c>
      <c r="I250" s="4"/>
      <c r="J250" s="22">
        <v>0.43124999999999997</v>
      </c>
      <c r="K250" s="22">
        <v>0.93472222222222223</v>
      </c>
      <c r="L250" s="4"/>
      <c r="M250" s="4"/>
      <c r="N250" t="s">
        <v>1124</v>
      </c>
      <c r="O250" s="4"/>
      <c r="P250" t="s">
        <v>282</v>
      </c>
      <c r="Q250">
        <v>23</v>
      </c>
    </row>
    <row r="251" spans="1:17" ht="14.25" customHeight="1" x14ac:dyDescent="0.25">
      <c r="A251" s="4"/>
      <c r="B251" s="21">
        <v>44204</v>
      </c>
      <c r="C251" s="5">
        <f t="shared" si="6"/>
        <v>2</v>
      </c>
      <c r="D251" s="5">
        <f t="shared" si="7"/>
        <v>6</v>
      </c>
      <c r="E251" s="1" t="s">
        <v>7</v>
      </c>
      <c r="F251" s="1" t="s">
        <v>14</v>
      </c>
      <c r="G251">
        <v>47357</v>
      </c>
      <c r="H251">
        <v>100247</v>
      </c>
      <c r="I251" s="4"/>
      <c r="J251" s="22">
        <v>0.26458333333333334</v>
      </c>
      <c r="K251" s="22">
        <v>0.67569444444444438</v>
      </c>
      <c r="L251" s="4"/>
      <c r="M251" s="4"/>
      <c r="N251" t="s">
        <v>1125</v>
      </c>
      <c r="O251" s="4"/>
      <c r="P251" t="s">
        <v>283</v>
      </c>
      <c r="Q251">
        <v>15</v>
      </c>
    </row>
    <row r="252" spans="1:17" ht="14.25" customHeight="1" x14ac:dyDescent="0.25">
      <c r="A252" s="4"/>
      <c r="B252" s="21">
        <v>44204</v>
      </c>
      <c r="C252" s="5">
        <f t="shared" si="6"/>
        <v>2</v>
      </c>
      <c r="D252" s="5">
        <f t="shared" si="7"/>
        <v>6</v>
      </c>
      <c r="E252" s="1" t="s">
        <v>6</v>
      </c>
      <c r="F252" s="1" t="s">
        <v>12</v>
      </c>
      <c r="G252">
        <v>47359</v>
      </c>
      <c r="H252">
        <v>100247</v>
      </c>
      <c r="I252" s="4"/>
      <c r="J252" s="22">
        <v>0.30138888888888887</v>
      </c>
      <c r="K252" s="22">
        <v>0.11805555555555557</v>
      </c>
      <c r="L252" s="4"/>
      <c r="M252" s="4"/>
      <c r="N252" t="s">
        <v>1126</v>
      </c>
      <c r="O252" s="4"/>
      <c r="P252" t="s">
        <v>284</v>
      </c>
      <c r="Q252">
        <v>22</v>
      </c>
    </row>
    <row r="253" spans="1:17" ht="14.25" customHeight="1" x14ac:dyDescent="0.25">
      <c r="A253" s="4"/>
      <c r="B253" s="21">
        <v>44204</v>
      </c>
      <c r="C253" s="5">
        <f t="shared" si="6"/>
        <v>2</v>
      </c>
      <c r="D253" s="5">
        <f t="shared" si="7"/>
        <v>6</v>
      </c>
      <c r="E253" s="1" t="s">
        <v>6</v>
      </c>
      <c r="F253" s="1" t="s">
        <v>11</v>
      </c>
      <c r="G253">
        <v>47359</v>
      </c>
      <c r="H253">
        <v>100248</v>
      </c>
      <c r="I253" s="4"/>
      <c r="J253" s="22">
        <v>0.40138888888888885</v>
      </c>
      <c r="K253" s="22">
        <v>0.97430555555555554</v>
      </c>
      <c r="L253" s="4"/>
      <c r="M253" s="4"/>
      <c r="N253" t="s">
        <v>1127</v>
      </c>
      <c r="O253" s="4"/>
      <c r="P253" t="s">
        <v>285</v>
      </c>
      <c r="Q253">
        <v>9</v>
      </c>
    </row>
    <row r="254" spans="1:17" ht="14.25" customHeight="1" x14ac:dyDescent="0.25">
      <c r="A254" s="4"/>
      <c r="B254" s="21">
        <v>44204</v>
      </c>
      <c r="C254" s="5">
        <f t="shared" si="6"/>
        <v>2</v>
      </c>
      <c r="D254" s="5">
        <f t="shared" si="7"/>
        <v>6</v>
      </c>
      <c r="E254" s="1" t="s">
        <v>7</v>
      </c>
      <c r="F254" s="1" t="s">
        <v>16</v>
      </c>
      <c r="G254">
        <v>47359</v>
      </c>
      <c r="H254">
        <v>100249</v>
      </c>
      <c r="I254" s="4"/>
      <c r="J254" s="22">
        <v>0.43194444444444446</v>
      </c>
      <c r="K254" s="22">
        <v>0.94374999999999998</v>
      </c>
      <c r="L254" s="4"/>
      <c r="M254" s="4"/>
      <c r="N254" t="s">
        <v>1128</v>
      </c>
      <c r="O254" s="4"/>
      <c r="P254" t="s">
        <v>286</v>
      </c>
      <c r="Q254">
        <v>27</v>
      </c>
    </row>
    <row r="255" spans="1:17" ht="14.25" customHeight="1" x14ac:dyDescent="0.25">
      <c r="A255" s="4"/>
      <c r="B255" s="21">
        <v>44204</v>
      </c>
      <c r="C255" s="5">
        <f t="shared" si="6"/>
        <v>2</v>
      </c>
      <c r="D255" s="5">
        <f t="shared" si="7"/>
        <v>6</v>
      </c>
      <c r="E255" s="1" t="s">
        <v>6</v>
      </c>
      <c r="F255" s="1" t="s">
        <v>11</v>
      </c>
      <c r="G255">
        <v>47361</v>
      </c>
      <c r="H255">
        <v>100252</v>
      </c>
      <c r="I255" s="4"/>
      <c r="J255" s="22">
        <v>0.36527777777777781</v>
      </c>
      <c r="K255" s="22">
        <v>0.88263888888888886</v>
      </c>
      <c r="L255" s="4"/>
      <c r="M255" s="4"/>
      <c r="N255" t="s">
        <v>1129</v>
      </c>
      <c r="O255" s="4"/>
      <c r="P255" t="s">
        <v>287</v>
      </c>
      <c r="Q255">
        <v>14</v>
      </c>
    </row>
    <row r="256" spans="1:17" ht="14.25" customHeight="1" x14ac:dyDescent="0.25">
      <c r="A256" s="4"/>
      <c r="B256" s="21">
        <v>44204</v>
      </c>
      <c r="C256" s="5">
        <f t="shared" si="6"/>
        <v>2</v>
      </c>
      <c r="D256" s="5">
        <f t="shared" si="7"/>
        <v>6</v>
      </c>
      <c r="E256" s="1" t="s">
        <v>7</v>
      </c>
      <c r="F256" s="1" t="s">
        <v>14</v>
      </c>
      <c r="G256">
        <v>47361</v>
      </c>
      <c r="H256">
        <v>100253</v>
      </c>
      <c r="I256" s="4"/>
      <c r="J256" s="22">
        <v>0.40486111111111112</v>
      </c>
      <c r="K256" s="22">
        <v>0.23750000000000002</v>
      </c>
      <c r="L256" s="4"/>
      <c r="M256" s="4"/>
      <c r="N256" t="s">
        <v>1130</v>
      </c>
      <c r="O256" s="4"/>
      <c r="P256" t="s">
        <v>288</v>
      </c>
      <c r="Q256">
        <v>1</v>
      </c>
    </row>
    <row r="257" spans="1:17" ht="14.25" customHeight="1" x14ac:dyDescent="0.25">
      <c r="A257" s="4"/>
      <c r="B257" s="21">
        <v>44204</v>
      </c>
      <c r="C257" s="5">
        <f t="shared" si="6"/>
        <v>2</v>
      </c>
      <c r="D257" s="5">
        <f t="shared" si="7"/>
        <v>6</v>
      </c>
      <c r="E257" s="1" t="s">
        <v>6</v>
      </c>
      <c r="F257" s="1" t="s">
        <v>12</v>
      </c>
      <c r="G257">
        <v>47362</v>
      </c>
      <c r="H257">
        <v>100254</v>
      </c>
      <c r="I257" s="4"/>
      <c r="J257" s="22">
        <v>0.49027777777777781</v>
      </c>
      <c r="K257" s="22">
        <v>0.6694444444444444</v>
      </c>
      <c r="L257" s="4"/>
      <c r="M257" s="4"/>
      <c r="N257" t="s">
        <v>1131</v>
      </c>
      <c r="O257" s="4"/>
      <c r="P257" t="s">
        <v>289</v>
      </c>
      <c r="Q257">
        <v>6</v>
      </c>
    </row>
    <row r="258" spans="1:17" ht="14.25" customHeight="1" x14ac:dyDescent="0.25">
      <c r="A258" s="4"/>
      <c r="B258" s="21">
        <v>44204</v>
      </c>
      <c r="C258" s="5">
        <f t="shared" si="6"/>
        <v>2</v>
      </c>
      <c r="D258" s="5">
        <f t="shared" si="7"/>
        <v>6</v>
      </c>
      <c r="E258" s="1" t="s">
        <v>7</v>
      </c>
      <c r="F258" s="1" t="s">
        <v>15</v>
      </c>
      <c r="G258">
        <v>47362</v>
      </c>
      <c r="H258">
        <v>100255</v>
      </c>
      <c r="I258" s="4"/>
      <c r="J258" s="22">
        <v>0.47152777777777777</v>
      </c>
      <c r="K258" s="22">
        <v>0.4513888888888889</v>
      </c>
      <c r="L258" s="4"/>
      <c r="M258" s="4"/>
      <c r="N258" t="s">
        <v>1132</v>
      </c>
      <c r="O258" s="4"/>
      <c r="P258" t="s">
        <v>290</v>
      </c>
      <c r="Q258">
        <v>7</v>
      </c>
    </row>
    <row r="259" spans="1:17" ht="14.25" customHeight="1" x14ac:dyDescent="0.25">
      <c r="A259" s="4"/>
      <c r="B259" s="21">
        <v>44204</v>
      </c>
      <c r="C259" s="5">
        <f t="shared" ref="C259:C322" si="8">WEEKNUM(B259)</f>
        <v>2</v>
      </c>
      <c r="D259" s="5">
        <f t="shared" ref="D259:D322" si="9">WEEKDAY(B259)</f>
        <v>6</v>
      </c>
      <c r="E259" s="1" t="s">
        <v>5</v>
      </c>
      <c r="F259" s="1" t="s">
        <v>18</v>
      </c>
      <c r="G259">
        <v>47363</v>
      </c>
      <c r="H259">
        <v>100255</v>
      </c>
      <c r="I259" s="8"/>
      <c r="J259" s="22">
        <v>0.2986111111111111</v>
      </c>
      <c r="K259" s="22">
        <v>0.20208333333333331</v>
      </c>
      <c r="L259" s="4"/>
      <c r="M259" s="4"/>
      <c r="N259" t="s">
        <v>1133</v>
      </c>
      <c r="O259" s="4"/>
      <c r="P259" t="s">
        <v>291</v>
      </c>
      <c r="Q259">
        <v>27</v>
      </c>
    </row>
    <row r="260" spans="1:17" ht="14.25" customHeight="1" x14ac:dyDescent="0.25">
      <c r="A260" s="4"/>
      <c r="B260" s="21">
        <v>44204</v>
      </c>
      <c r="C260" s="5">
        <f t="shared" si="8"/>
        <v>2</v>
      </c>
      <c r="D260" s="5">
        <f t="shared" si="9"/>
        <v>6</v>
      </c>
      <c r="E260" s="1" t="s">
        <v>6</v>
      </c>
      <c r="F260" s="1" t="s">
        <v>12</v>
      </c>
      <c r="G260">
        <v>47366</v>
      </c>
      <c r="H260">
        <v>100256</v>
      </c>
      <c r="I260" s="8"/>
      <c r="J260" s="22">
        <v>0.4368055555555555</v>
      </c>
      <c r="K260" s="22">
        <v>0.58263888888888882</v>
      </c>
      <c r="L260" s="4"/>
      <c r="M260" s="4"/>
      <c r="N260" t="s">
        <v>1134</v>
      </c>
      <c r="O260" s="4"/>
      <c r="P260" t="s">
        <v>292</v>
      </c>
      <c r="Q260">
        <v>26</v>
      </c>
    </row>
    <row r="261" spans="1:17" ht="14.25" customHeight="1" x14ac:dyDescent="0.25">
      <c r="A261" s="4"/>
      <c r="B261" s="21">
        <v>44204</v>
      </c>
      <c r="C261" s="5">
        <f t="shared" si="8"/>
        <v>2</v>
      </c>
      <c r="D261" s="5">
        <f t="shared" si="9"/>
        <v>6</v>
      </c>
      <c r="E261" s="1" t="s">
        <v>6</v>
      </c>
      <c r="F261" s="1" t="s">
        <v>11</v>
      </c>
      <c r="G261">
        <v>47367</v>
      </c>
      <c r="H261">
        <v>100256</v>
      </c>
      <c r="I261" s="8"/>
      <c r="J261" s="22">
        <v>0.44236111111111115</v>
      </c>
      <c r="K261" s="22">
        <v>0.15277777777777776</v>
      </c>
      <c r="L261" s="4"/>
      <c r="M261" s="4"/>
      <c r="N261" t="s">
        <v>1135</v>
      </c>
      <c r="O261" s="4"/>
      <c r="P261" t="s">
        <v>293</v>
      </c>
      <c r="Q261">
        <v>21</v>
      </c>
    </row>
    <row r="262" spans="1:17" ht="14.25" customHeight="1" x14ac:dyDescent="0.25">
      <c r="A262" s="4"/>
      <c r="B262" s="21">
        <v>44204</v>
      </c>
      <c r="C262" s="5">
        <f t="shared" si="8"/>
        <v>2</v>
      </c>
      <c r="D262" s="5">
        <f t="shared" si="9"/>
        <v>6</v>
      </c>
      <c r="E262" s="1" t="s">
        <v>5</v>
      </c>
      <c r="F262" s="1" t="s">
        <v>19</v>
      </c>
      <c r="G262">
        <v>47368</v>
      </c>
      <c r="H262">
        <v>100257</v>
      </c>
      <c r="I262" s="8"/>
      <c r="J262" s="22">
        <v>0.27986111111111112</v>
      </c>
      <c r="K262" s="22">
        <v>0.96666666666666667</v>
      </c>
      <c r="L262" s="4"/>
      <c r="M262" s="4"/>
      <c r="N262" t="s">
        <v>1136</v>
      </c>
      <c r="O262" s="4"/>
      <c r="P262" t="s">
        <v>294</v>
      </c>
      <c r="Q262">
        <v>14</v>
      </c>
    </row>
    <row r="263" spans="1:17" ht="14.25" customHeight="1" x14ac:dyDescent="0.25">
      <c r="A263" s="4"/>
      <c r="B263" s="21">
        <v>44204</v>
      </c>
      <c r="C263" s="5">
        <f t="shared" si="8"/>
        <v>2</v>
      </c>
      <c r="D263" s="5">
        <f t="shared" si="9"/>
        <v>6</v>
      </c>
      <c r="E263" s="1" t="s">
        <v>7</v>
      </c>
      <c r="F263" s="1" t="s">
        <v>16</v>
      </c>
      <c r="G263">
        <v>47369</v>
      </c>
      <c r="H263">
        <v>100259</v>
      </c>
      <c r="I263" s="4"/>
      <c r="J263" s="22">
        <v>0.26458333333333334</v>
      </c>
      <c r="K263" s="22">
        <v>0.81458333333333333</v>
      </c>
      <c r="L263" s="4"/>
      <c r="M263" s="4"/>
      <c r="N263" t="s">
        <v>1137</v>
      </c>
      <c r="O263" s="4"/>
      <c r="P263" t="s">
        <v>295</v>
      </c>
      <c r="Q263">
        <v>10</v>
      </c>
    </row>
    <row r="264" spans="1:17" ht="14.25" customHeight="1" x14ac:dyDescent="0.25">
      <c r="A264" s="4"/>
      <c r="B264" s="21">
        <v>44204</v>
      </c>
      <c r="C264" s="5">
        <f t="shared" si="8"/>
        <v>2</v>
      </c>
      <c r="D264" s="5">
        <f t="shared" si="9"/>
        <v>6</v>
      </c>
      <c r="E264" s="1" t="s">
        <v>5</v>
      </c>
      <c r="F264" s="1" t="s">
        <v>20</v>
      </c>
      <c r="G264">
        <v>47370</v>
      </c>
      <c r="H264">
        <v>100260</v>
      </c>
      <c r="I264" s="4"/>
      <c r="J264" s="22">
        <v>0.42430555555555555</v>
      </c>
      <c r="K264" s="22">
        <v>0.53749999999999998</v>
      </c>
      <c r="L264" s="4"/>
      <c r="M264" s="4"/>
      <c r="N264" t="s">
        <v>1138</v>
      </c>
      <c r="O264" s="4"/>
      <c r="P264" t="s">
        <v>296</v>
      </c>
      <c r="Q264">
        <v>26</v>
      </c>
    </row>
    <row r="265" spans="1:17" ht="14.25" customHeight="1" x14ac:dyDescent="0.25">
      <c r="A265" s="4"/>
      <c r="B265" s="21">
        <v>44204</v>
      </c>
      <c r="C265" s="5">
        <f t="shared" si="8"/>
        <v>2</v>
      </c>
      <c r="D265" s="5">
        <f t="shared" si="9"/>
        <v>6</v>
      </c>
      <c r="E265" s="1" t="s">
        <v>6</v>
      </c>
      <c r="F265" s="1" t="s">
        <v>11</v>
      </c>
      <c r="G265">
        <v>47371</v>
      </c>
      <c r="H265">
        <v>100261</v>
      </c>
      <c r="I265" s="4"/>
      <c r="J265" s="22">
        <v>0.47847222222222219</v>
      </c>
      <c r="K265" s="22">
        <v>0.31875000000000003</v>
      </c>
      <c r="L265" s="4"/>
      <c r="M265" s="4"/>
      <c r="N265" t="s">
        <v>1139</v>
      </c>
      <c r="O265" s="4"/>
      <c r="P265" t="s">
        <v>297</v>
      </c>
      <c r="Q265">
        <v>31</v>
      </c>
    </row>
    <row r="266" spans="1:17" ht="14.25" customHeight="1" x14ac:dyDescent="0.25">
      <c r="A266" s="4"/>
      <c r="B266" s="21">
        <v>44204</v>
      </c>
      <c r="C266" s="5">
        <f t="shared" si="8"/>
        <v>2</v>
      </c>
      <c r="D266" s="5">
        <f t="shared" si="9"/>
        <v>6</v>
      </c>
      <c r="E266" s="1" t="s">
        <v>7</v>
      </c>
      <c r="F266" s="1" t="s">
        <v>15</v>
      </c>
      <c r="G266">
        <v>47372</v>
      </c>
      <c r="H266">
        <v>100262</v>
      </c>
      <c r="I266" s="4"/>
      <c r="J266" s="22">
        <v>0.35902777777777778</v>
      </c>
      <c r="K266" s="22">
        <v>0.20347222222222219</v>
      </c>
      <c r="L266" s="4"/>
      <c r="M266" s="4"/>
      <c r="N266" t="s">
        <v>1140</v>
      </c>
      <c r="O266" s="4"/>
      <c r="P266" t="s">
        <v>298</v>
      </c>
      <c r="Q266">
        <v>32</v>
      </c>
    </row>
    <row r="267" spans="1:17" ht="14.25" customHeight="1" x14ac:dyDescent="0.25">
      <c r="A267" s="4"/>
      <c r="B267" s="21">
        <v>44204</v>
      </c>
      <c r="C267" s="5">
        <f t="shared" si="8"/>
        <v>2</v>
      </c>
      <c r="D267" s="5">
        <f t="shared" si="9"/>
        <v>6</v>
      </c>
      <c r="E267" s="1" t="s">
        <v>6</v>
      </c>
      <c r="F267" s="1" t="s">
        <v>11</v>
      </c>
      <c r="G267">
        <v>47373</v>
      </c>
      <c r="H267">
        <v>100262</v>
      </c>
      <c r="I267" s="4"/>
      <c r="J267" s="22">
        <v>0.27986111111111112</v>
      </c>
      <c r="K267" s="22">
        <v>0.40486111111111112</v>
      </c>
      <c r="L267" s="4"/>
      <c r="M267" s="4"/>
      <c r="N267" t="s">
        <v>1141</v>
      </c>
      <c r="O267" s="4"/>
      <c r="P267" t="s">
        <v>299</v>
      </c>
      <c r="Q267">
        <v>15</v>
      </c>
    </row>
    <row r="268" spans="1:17" ht="14.25" customHeight="1" x14ac:dyDescent="0.25">
      <c r="A268" s="4"/>
      <c r="B268" s="21">
        <v>44204</v>
      </c>
      <c r="C268" s="5">
        <f t="shared" si="8"/>
        <v>2</v>
      </c>
      <c r="D268" s="5">
        <f t="shared" si="9"/>
        <v>6</v>
      </c>
      <c r="E268" s="1" t="s">
        <v>5</v>
      </c>
      <c r="F268" s="1" t="s">
        <v>17</v>
      </c>
      <c r="G268">
        <v>47373</v>
      </c>
      <c r="H268">
        <v>100263</v>
      </c>
      <c r="I268" s="8"/>
      <c r="J268" s="22">
        <v>0.42291666666666666</v>
      </c>
      <c r="K268" s="22">
        <v>0.62222222222222223</v>
      </c>
      <c r="L268" s="4"/>
      <c r="M268" s="4"/>
      <c r="N268" t="s">
        <v>1142</v>
      </c>
      <c r="O268" s="4"/>
      <c r="P268" t="s">
        <v>300</v>
      </c>
      <c r="Q268">
        <v>11</v>
      </c>
    </row>
    <row r="269" spans="1:17" ht="14.25" customHeight="1" x14ac:dyDescent="0.25">
      <c r="A269" s="4"/>
      <c r="B269" s="21">
        <v>44204</v>
      </c>
      <c r="C269" s="5">
        <f t="shared" si="8"/>
        <v>2</v>
      </c>
      <c r="D269" s="5">
        <f t="shared" si="9"/>
        <v>6</v>
      </c>
      <c r="E269" s="1" t="s">
        <v>5</v>
      </c>
      <c r="F269" s="1" t="s">
        <v>19</v>
      </c>
      <c r="G269">
        <v>47374</v>
      </c>
      <c r="H269">
        <v>100263</v>
      </c>
      <c r="I269" s="8"/>
      <c r="J269" s="22">
        <v>0.39305555555555555</v>
      </c>
      <c r="K269" s="22">
        <v>0.65902777777777777</v>
      </c>
      <c r="L269" s="4"/>
      <c r="M269" s="4"/>
      <c r="N269" t="s">
        <v>1143</v>
      </c>
      <c r="O269" s="4"/>
      <c r="P269" t="s">
        <v>301</v>
      </c>
      <c r="Q269">
        <v>30</v>
      </c>
    </row>
    <row r="270" spans="1:17" ht="14.25" customHeight="1" x14ac:dyDescent="0.25">
      <c r="A270" s="4"/>
      <c r="B270" s="21">
        <v>44204</v>
      </c>
      <c r="C270" s="5">
        <f t="shared" si="8"/>
        <v>2</v>
      </c>
      <c r="D270" s="5">
        <f t="shared" si="9"/>
        <v>6</v>
      </c>
      <c r="E270" s="1" t="s">
        <v>5</v>
      </c>
      <c r="F270" s="1" t="s">
        <v>17</v>
      </c>
      <c r="G270">
        <v>47375</v>
      </c>
      <c r="H270">
        <v>100264</v>
      </c>
      <c r="I270" s="8"/>
      <c r="J270" s="22">
        <v>0.42499999999999999</v>
      </c>
      <c r="K270" s="22">
        <v>0.36319444444444443</v>
      </c>
      <c r="L270" s="4"/>
      <c r="M270" s="4"/>
      <c r="N270" t="s">
        <v>1144</v>
      </c>
      <c r="O270" s="4"/>
      <c r="P270" t="s">
        <v>302</v>
      </c>
      <c r="Q270">
        <v>18</v>
      </c>
    </row>
    <row r="271" spans="1:17" ht="14.25" customHeight="1" x14ac:dyDescent="0.25">
      <c r="A271" s="4"/>
      <c r="B271" s="21">
        <v>44204</v>
      </c>
      <c r="C271" s="5">
        <f t="shared" si="8"/>
        <v>2</v>
      </c>
      <c r="D271" s="5">
        <f t="shared" si="9"/>
        <v>6</v>
      </c>
      <c r="E271" s="1" t="s">
        <v>6</v>
      </c>
      <c r="F271" s="1" t="s">
        <v>11</v>
      </c>
      <c r="G271">
        <v>47375</v>
      </c>
      <c r="H271">
        <v>100264</v>
      </c>
      <c r="I271" s="8"/>
      <c r="J271" s="22">
        <v>0.26597222222222222</v>
      </c>
      <c r="K271" s="22">
        <v>0.2298611111111111</v>
      </c>
      <c r="L271" s="4"/>
      <c r="M271" s="4"/>
      <c r="N271" t="s">
        <v>1145</v>
      </c>
      <c r="O271" s="4"/>
      <c r="P271" t="s">
        <v>303</v>
      </c>
      <c r="Q271">
        <v>5</v>
      </c>
    </row>
    <row r="272" spans="1:17" ht="14.25" customHeight="1" x14ac:dyDescent="0.25">
      <c r="A272" s="4"/>
      <c r="B272" s="21">
        <v>44204</v>
      </c>
      <c r="C272" s="5">
        <f t="shared" si="8"/>
        <v>2</v>
      </c>
      <c r="D272" s="5">
        <f t="shared" si="9"/>
        <v>6</v>
      </c>
      <c r="E272" s="1" t="s">
        <v>5</v>
      </c>
      <c r="F272" s="1" t="s">
        <v>18</v>
      </c>
      <c r="G272">
        <v>47376</v>
      </c>
      <c r="H272">
        <v>100265</v>
      </c>
      <c r="I272" s="8"/>
      <c r="J272" s="22">
        <v>0.31805555555555554</v>
      </c>
      <c r="K272" s="22">
        <v>0.78125</v>
      </c>
      <c r="L272" s="4"/>
      <c r="M272" s="4"/>
      <c r="N272" t="s">
        <v>1146</v>
      </c>
      <c r="O272" s="4"/>
      <c r="P272" t="s">
        <v>304</v>
      </c>
      <c r="Q272">
        <v>11</v>
      </c>
    </row>
    <row r="273" spans="1:17" ht="14.25" customHeight="1" x14ac:dyDescent="0.25">
      <c r="A273" s="4"/>
      <c r="B273" s="21">
        <v>44204</v>
      </c>
      <c r="C273" s="5">
        <f t="shared" si="8"/>
        <v>2</v>
      </c>
      <c r="D273" s="5">
        <f t="shared" si="9"/>
        <v>6</v>
      </c>
      <c r="E273" s="1" t="s">
        <v>6</v>
      </c>
      <c r="F273" s="1" t="s">
        <v>12</v>
      </c>
      <c r="G273">
        <v>47378</v>
      </c>
      <c r="H273">
        <v>100266</v>
      </c>
      <c r="I273" s="4"/>
      <c r="J273" s="22">
        <v>0.44166666666666665</v>
      </c>
      <c r="K273" s="22">
        <v>0.65277777777777779</v>
      </c>
      <c r="L273" s="4"/>
      <c r="M273" s="4"/>
      <c r="N273" t="s">
        <v>1147</v>
      </c>
      <c r="O273" s="4"/>
      <c r="P273" t="s">
        <v>305</v>
      </c>
      <c r="Q273">
        <v>13</v>
      </c>
    </row>
    <row r="274" spans="1:17" ht="14.25" customHeight="1" x14ac:dyDescent="0.25">
      <c r="A274" s="4"/>
      <c r="B274" s="21">
        <v>44205</v>
      </c>
      <c r="C274" s="5">
        <f t="shared" si="8"/>
        <v>2</v>
      </c>
      <c r="D274" s="5">
        <f t="shared" si="9"/>
        <v>7</v>
      </c>
      <c r="E274" s="1" t="s">
        <v>5</v>
      </c>
      <c r="F274" s="1" t="s">
        <v>17</v>
      </c>
      <c r="G274">
        <v>47379</v>
      </c>
      <c r="H274">
        <v>100266</v>
      </c>
      <c r="I274" s="5"/>
      <c r="J274" s="22">
        <v>0.2590277777777778</v>
      </c>
      <c r="K274" s="22">
        <v>0.83472222222222225</v>
      </c>
      <c r="L274" s="4"/>
      <c r="M274" s="4"/>
      <c r="N274" t="s">
        <v>1148</v>
      </c>
      <c r="O274" s="4"/>
      <c r="P274" t="s">
        <v>306</v>
      </c>
      <c r="Q274">
        <v>19</v>
      </c>
    </row>
    <row r="275" spans="1:17" ht="14.25" customHeight="1" x14ac:dyDescent="0.25">
      <c r="A275" s="4"/>
      <c r="B275" s="21">
        <v>44205</v>
      </c>
      <c r="C275" s="5">
        <f t="shared" si="8"/>
        <v>2</v>
      </c>
      <c r="D275" s="5">
        <f t="shared" si="9"/>
        <v>7</v>
      </c>
      <c r="E275" s="1" t="s">
        <v>7</v>
      </c>
      <c r="F275" s="1" t="s">
        <v>16</v>
      </c>
      <c r="G275">
        <v>47379</v>
      </c>
      <c r="H275">
        <v>100267</v>
      </c>
      <c r="I275" s="4"/>
      <c r="J275" s="22">
        <v>0.45555555555555555</v>
      </c>
      <c r="K275" s="22">
        <v>0.27291666666666664</v>
      </c>
      <c r="L275" s="4"/>
      <c r="M275" s="4"/>
      <c r="N275" t="s">
        <v>1149</v>
      </c>
      <c r="O275" s="4"/>
      <c r="P275" t="s">
        <v>307</v>
      </c>
      <c r="Q275">
        <v>6</v>
      </c>
    </row>
    <row r="276" spans="1:17" ht="14.25" customHeight="1" x14ac:dyDescent="0.25">
      <c r="A276" s="4"/>
      <c r="B276" s="21">
        <v>44205</v>
      </c>
      <c r="C276" s="5">
        <f t="shared" si="8"/>
        <v>2</v>
      </c>
      <c r="D276" s="5">
        <f t="shared" si="9"/>
        <v>7</v>
      </c>
      <c r="E276" s="1" t="s">
        <v>6</v>
      </c>
      <c r="F276" s="1" t="s">
        <v>11</v>
      </c>
      <c r="G276">
        <v>47379</v>
      </c>
      <c r="H276">
        <v>100268</v>
      </c>
      <c r="I276" s="4"/>
      <c r="J276" s="22">
        <v>0.43055555555555558</v>
      </c>
      <c r="K276" s="22">
        <v>0.86597222222222225</v>
      </c>
      <c r="L276" s="4"/>
      <c r="M276" s="4"/>
      <c r="N276" t="s">
        <v>1150</v>
      </c>
      <c r="O276" s="4"/>
      <c r="P276" t="s">
        <v>308</v>
      </c>
      <c r="Q276">
        <v>6</v>
      </c>
    </row>
    <row r="277" spans="1:17" ht="14.25" customHeight="1" x14ac:dyDescent="0.25">
      <c r="A277" s="4"/>
      <c r="B277" s="21">
        <v>44205</v>
      </c>
      <c r="C277" s="5">
        <f t="shared" si="8"/>
        <v>2</v>
      </c>
      <c r="D277" s="5">
        <f t="shared" si="9"/>
        <v>7</v>
      </c>
      <c r="E277" s="1" t="s">
        <v>6</v>
      </c>
      <c r="F277" s="1" t="s">
        <v>13</v>
      </c>
      <c r="G277">
        <v>47379</v>
      </c>
      <c r="H277">
        <v>100269</v>
      </c>
      <c r="I277" s="4"/>
      <c r="J277" s="22">
        <v>0.4145833333333333</v>
      </c>
      <c r="K277" s="22">
        <v>0.27777777777777779</v>
      </c>
      <c r="L277" s="4"/>
      <c r="M277" s="4"/>
      <c r="N277" t="s">
        <v>1151</v>
      </c>
      <c r="O277" s="4"/>
      <c r="P277" t="s">
        <v>309</v>
      </c>
      <c r="Q277">
        <v>22</v>
      </c>
    </row>
    <row r="278" spans="1:17" ht="14.25" customHeight="1" x14ac:dyDescent="0.25">
      <c r="A278" s="4"/>
      <c r="B278" s="21">
        <v>44205</v>
      </c>
      <c r="C278" s="5">
        <f t="shared" si="8"/>
        <v>2</v>
      </c>
      <c r="D278" s="5">
        <f t="shared" si="9"/>
        <v>7</v>
      </c>
      <c r="E278" s="1" t="s">
        <v>7</v>
      </c>
      <c r="F278" s="1" t="s">
        <v>16</v>
      </c>
      <c r="G278">
        <v>47382</v>
      </c>
      <c r="H278">
        <v>100270</v>
      </c>
      <c r="I278" s="4"/>
      <c r="J278" s="22">
        <v>0.25069444444444444</v>
      </c>
      <c r="K278" s="22">
        <v>0.26805555555555555</v>
      </c>
      <c r="L278" s="4"/>
      <c r="M278" s="4"/>
      <c r="N278" t="s">
        <v>1152</v>
      </c>
      <c r="O278" s="4"/>
      <c r="P278" t="s">
        <v>310</v>
      </c>
      <c r="Q278">
        <v>32</v>
      </c>
    </row>
    <row r="279" spans="1:17" ht="14.25" customHeight="1" x14ac:dyDescent="0.25">
      <c r="A279" s="4"/>
      <c r="B279" s="21">
        <v>44205</v>
      </c>
      <c r="C279" s="5">
        <f t="shared" si="8"/>
        <v>2</v>
      </c>
      <c r="D279" s="5">
        <f t="shared" si="9"/>
        <v>7</v>
      </c>
      <c r="E279" s="1" t="s">
        <v>7</v>
      </c>
      <c r="F279" s="1" t="s">
        <v>15</v>
      </c>
      <c r="G279">
        <v>47383</v>
      </c>
      <c r="H279">
        <v>100270</v>
      </c>
      <c r="I279" s="4"/>
      <c r="J279" s="22">
        <v>0.28958333333333336</v>
      </c>
      <c r="K279" s="22">
        <v>0.56527777777777777</v>
      </c>
      <c r="L279" s="4"/>
      <c r="M279" s="4"/>
      <c r="N279" t="s">
        <v>1153</v>
      </c>
      <c r="O279" s="4"/>
      <c r="P279" t="s">
        <v>311</v>
      </c>
      <c r="Q279">
        <v>14</v>
      </c>
    </row>
    <row r="280" spans="1:17" ht="14.25" customHeight="1" x14ac:dyDescent="0.25">
      <c r="A280" s="4"/>
      <c r="B280" s="21">
        <v>44205</v>
      </c>
      <c r="C280" s="5">
        <f t="shared" si="8"/>
        <v>2</v>
      </c>
      <c r="D280" s="5">
        <f t="shared" si="9"/>
        <v>7</v>
      </c>
      <c r="E280" s="1" t="s">
        <v>5</v>
      </c>
      <c r="F280" s="1" t="s">
        <v>19</v>
      </c>
      <c r="G280">
        <v>47384</v>
      </c>
      <c r="H280">
        <v>100271</v>
      </c>
      <c r="I280" s="4"/>
      <c r="J280" s="22">
        <v>0.4909722222222222</v>
      </c>
      <c r="K280" s="22">
        <v>2.1527777777777781E-2</v>
      </c>
      <c r="L280" s="4"/>
      <c r="M280" s="4"/>
      <c r="N280" t="s">
        <v>1154</v>
      </c>
      <c r="O280" s="4"/>
      <c r="P280" t="s">
        <v>312</v>
      </c>
      <c r="Q280">
        <v>16</v>
      </c>
    </row>
    <row r="281" spans="1:17" ht="14.25" customHeight="1" x14ac:dyDescent="0.25">
      <c r="A281" s="4"/>
      <c r="B281" s="21">
        <v>44205</v>
      </c>
      <c r="C281" s="5">
        <f t="shared" si="8"/>
        <v>2</v>
      </c>
      <c r="D281" s="5">
        <f t="shared" si="9"/>
        <v>7</v>
      </c>
      <c r="E281" s="1" t="s">
        <v>6</v>
      </c>
      <c r="F281" s="1" t="s">
        <v>13</v>
      </c>
      <c r="G281">
        <v>47386</v>
      </c>
      <c r="H281">
        <v>100272</v>
      </c>
      <c r="I281" s="4"/>
      <c r="J281" s="22">
        <v>0.49652777777777773</v>
      </c>
      <c r="K281" s="22">
        <v>0.30833333333333335</v>
      </c>
      <c r="L281" s="4"/>
      <c r="M281" s="4"/>
      <c r="N281" t="s">
        <v>1155</v>
      </c>
      <c r="O281" s="4"/>
      <c r="P281" t="s">
        <v>313</v>
      </c>
      <c r="Q281">
        <v>27</v>
      </c>
    </row>
    <row r="282" spans="1:17" ht="14.25" customHeight="1" x14ac:dyDescent="0.25">
      <c r="A282" s="4"/>
      <c r="B282" s="21">
        <v>44205</v>
      </c>
      <c r="C282" s="5">
        <f t="shared" si="8"/>
        <v>2</v>
      </c>
      <c r="D282" s="5">
        <f t="shared" si="9"/>
        <v>7</v>
      </c>
      <c r="E282" s="1" t="s">
        <v>6</v>
      </c>
      <c r="F282" s="1" t="s">
        <v>12</v>
      </c>
      <c r="G282">
        <v>47386</v>
      </c>
      <c r="H282">
        <v>100272</v>
      </c>
      <c r="I282" s="4"/>
      <c r="J282" s="22">
        <v>0.49791666666666662</v>
      </c>
      <c r="K282" s="22">
        <v>0.3430555555555555</v>
      </c>
      <c r="L282" s="4"/>
      <c r="M282" s="4"/>
      <c r="N282" t="s">
        <v>1156</v>
      </c>
      <c r="O282" s="4"/>
      <c r="P282" t="s">
        <v>314</v>
      </c>
      <c r="Q282">
        <v>21</v>
      </c>
    </row>
    <row r="283" spans="1:17" ht="14.25" customHeight="1" x14ac:dyDescent="0.25">
      <c r="A283" s="4"/>
      <c r="B283" s="21">
        <v>44205</v>
      </c>
      <c r="C283" s="5">
        <f t="shared" si="8"/>
        <v>2</v>
      </c>
      <c r="D283" s="5">
        <f t="shared" si="9"/>
        <v>7</v>
      </c>
      <c r="E283" s="1" t="s">
        <v>5</v>
      </c>
      <c r="F283" s="1" t="s">
        <v>19</v>
      </c>
      <c r="G283">
        <v>47388</v>
      </c>
      <c r="H283">
        <v>100273</v>
      </c>
      <c r="I283" s="4"/>
      <c r="J283" s="22">
        <v>0.31041666666666667</v>
      </c>
      <c r="K283" s="22">
        <v>0.25625000000000003</v>
      </c>
      <c r="L283" s="4"/>
      <c r="M283" s="4"/>
      <c r="N283" t="s">
        <v>1157</v>
      </c>
      <c r="O283" s="4"/>
      <c r="P283" t="s">
        <v>315</v>
      </c>
      <c r="Q283">
        <v>31</v>
      </c>
    </row>
    <row r="284" spans="1:17" ht="14.25" customHeight="1" x14ac:dyDescent="0.25">
      <c r="A284" s="4"/>
      <c r="B284" s="21">
        <v>44205</v>
      </c>
      <c r="C284" s="5">
        <f t="shared" si="8"/>
        <v>2</v>
      </c>
      <c r="D284" s="5">
        <f t="shared" si="9"/>
        <v>7</v>
      </c>
      <c r="E284" s="1" t="s">
        <v>5</v>
      </c>
      <c r="F284" s="1" t="s">
        <v>19</v>
      </c>
      <c r="G284">
        <v>47389</v>
      </c>
      <c r="H284">
        <v>100273</v>
      </c>
      <c r="I284" s="4"/>
      <c r="J284" s="22">
        <v>0.4694444444444445</v>
      </c>
      <c r="K284" s="22">
        <v>0.54375000000000007</v>
      </c>
      <c r="L284" s="4"/>
      <c r="M284" s="4"/>
      <c r="N284" t="s">
        <v>1158</v>
      </c>
      <c r="O284" s="4"/>
      <c r="P284" t="s">
        <v>316</v>
      </c>
      <c r="Q284">
        <v>12</v>
      </c>
    </row>
    <row r="285" spans="1:17" ht="14.25" customHeight="1" x14ac:dyDescent="0.25">
      <c r="A285" s="4"/>
      <c r="B285" s="21">
        <v>44205</v>
      </c>
      <c r="C285" s="5">
        <f t="shared" si="8"/>
        <v>2</v>
      </c>
      <c r="D285" s="5">
        <f t="shared" si="9"/>
        <v>7</v>
      </c>
      <c r="E285" s="1" t="s">
        <v>6</v>
      </c>
      <c r="F285" s="1" t="s">
        <v>12</v>
      </c>
      <c r="G285">
        <v>47390</v>
      </c>
      <c r="H285">
        <v>100273</v>
      </c>
      <c r="I285" s="4"/>
      <c r="J285" s="22">
        <v>0.3743055555555555</v>
      </c>
      <c r="K285" s="22">
        <v>0.18611111111111112</v>
      </c>
      <c r="L285" s="4"/>
      <c r="M285" s="4"/>
      <c r="N285" t="s">
        <v>1159</v>
      </c>
      <c r="O285" s="4"/>
      <c r="P285" t="s">
        <v>95</v>
      </c>
      <c r="Q285">
        <v>30</v>
      </c>
    </row>
    <row r="286" spans="1:17" ht="14.25" customHeight="1" x14ac:dyDescent="0.25">
      <c r="A286" s="4"/>
      <c r="B286" s="21">
        <v>44205</v>
      </c>
      <c r="C286" s="5">
        <f t="shared" si="8"/>
        <v>2</v>
      </c>
      <c r="D286" s="5">
        <f t="shared" si="9"/>
        <v>7</v>
      </c>
      <c r="E286" s="1" t="s">
        <v>6</v>
      </c>
      <c r="F286" s="1" t="s">
        <v>13</v>
      </c>
      <c r="G286">
        <v>47390</v>
      </c>
      <c r="H286">
        <v>100274</v>
      </c>
      <c r="I286" s="4"/>
      <c r="J286" s="22">
        <v>0.25555555555555559</v>
      </c>
      <c r="K286" s="22">
        <v>0.75694444444444453</v>
      </c>
      <c r="L286" s="4"/>
      <c r="M286" s="4"/>
      <c r="N286" t="s">
        <v>1160</v>
      </c>
      <c r="O286" s="4"/>
      <c r="P286" t="s">
        <v>317</v>
      </c>
      <c r="Q286">
        <v>1</v>
      </c>
    </row>
    <row r="287" spans="1:17" ht="14.25" customHeight="1" x14ac:dyDescent="0.25">
      <c r="A287" s="4"/>
      <c r="B287" s="21">
        <v>44205</v>
      </c>
      <c r="C287" s="5">
        <f t="shared" si="8"/>
        <v>2</v>
      </c>
      <c r="D287" s="5">
        <f t="shared" si="9"/>
        <v>7</v>
      </c>
      <c r="E287" s="1" t="s">
        <v>7</v>
      </c>
      <c r="F287" s="1" t="s">
        <v>14</v>
      </c>
      <c r="G287">
        <v>47391</v>
      </c>
      <c r="H287">
        <v>100275</v>
      </c>
      <c r="I287" s="8"/>
      <c r="J287" s="22">
        <v>0.36874999999999997</v>
      </c>
      <c r="K287" s="22">
        <v>0.31111111111111112</v>
      </c>
      <c r="L287" s="4"/>
      <c r="M287" s="4"/>
      <c r="N287" t="s">
        <v>1161</v>
      </c>
      <c r="O287" s="4"/>
      <c r="P287" t="s">
        <v>318</v>
      </c>
      <c r="Q287">
        <v>22</v>
      </c>
    </row>
    <row r="288" spans="1:17" ht="14.25" customHeight="1" x14ac:dyDescent="0.25">
      <c r="A288" s="4"/>
      <c r="B288" s="21">
        <v>44205</v>
      </c>
      <c r="C288" s="5">
        <f t="shared" si="8"/>
        <v>2</v>
      </c>
      <c r="D288" s="5">
        <f t="shared" si="9"/>
        <v>7</v>
      </c>
      <c r="E288" s="1" t="s">
        <v>5</v>
      </c>
      <c r="F288" s="1" t="s">
        <v>20</v>
      </c>
      <c r="G288">
        <v>47392</v>
      </c>
      <c r="H288">
        <v>100275</v>
      </c>
      <c r="I288" s="8"/>
      <c r="J288" s="22">
        <v>0.45902777777777781</v>
      </c>
      <c r="K288" s="22">
        <v>0.79236111111111107</v>
      </c>
      <c r="L288" s="4"/>
      <c r="M288" s="4"/>
      <c r="N288" t="s">
        <v>1162</v>
      </c>
      <c r="O288" s="4"/>
      <c r="P288" t="s">
        <v>319</v>
      </c>
      <c r="Q288">
        <v>24</v>
      </c>
    </row>
    <row r="289" spans="1:17" ht="14.25" customHeight="1" x14ac:dyDescent="0.25">
      <c r="A289" s="4"/>
      <c r="B289" s="21">
        <v>44205</v>
      </c>
      <c r="C289" s="5">
        <f t="shared" si="8"/>
        <v>2</v>
      </c>
      <c r="D289" s="5">
        <f t="shared" si="9"/>
        <v>7</v>
      </c>
      <c r="E289" s="1" t="s">
        <v>7</v>
      </c>
      <c r="F289" s="1" t="s">
        <v>16</v>
      </c>
      <c r="G289">
        <v>47392</v>
      </c>
      <c r="H289">
        <v>100276</v>
      </c>
      <c r="I289" s="8"/>
      <c r="J289" s="22">
        <v>0.29097222222222224</v>
      </c>
      <c r="K289" s="22">
        <v>0.8222222222222223</v>
      </c>
      <c r="L289" s="4"/>
      <c r="M289" s="4"/>
      <c r="N289" t="s">
        <v>1163</v>
      </c>
      <c r="O289" s="4"/>
      <c r="P289" t="s">
        <v>320</v>
      </c>
      <c r="Q289">
        <v>20</v>
      </c>
    </row>
    <row r="290" spans="1:17" ht="14.25" customHeight="1" x14ac:dyDescent="0.25">
      <c r="A290" s="4"/>
      <c r="B290" s="21">
        <v>44205</v>
      </c>
      <c r="C290" s="5">
        <f t="shared" si="8"/>
        <v>2</v>
      </c>
      <c r="D290" s="5">
        <f t="shared" si="9"/>
        <v>7</v>
      </c>
      <c r="E290" s="1" t="s">
        <v>5</v>
      </c>
      <c r="F290" s="1" t="s">
        <v>17</v>
      </c>
      <c r="G290">
        <v>47393</v>
      </c>
      <c r="H290">
        <v>100283</v>
      </c>
      <c r="I290" s="8"/>
      <c r="J290" s="22">
        <v>0.37638888888888888</v>
      </c>
      <c r="K290" s="22">
        <v>0.80625000000000002</v>
      </c>
      <c r="L290" s="4"/>
      <c r="M290" s="4"/>
      <c r="N290" t="s">
        <v>1164</v>
      </c>
      <c r="O290" s="4"/>
      <c r="P290" t="s">
        <v>321</v>
      </c>
      <c r="Q290">
        <v>16</v>
      </c>
    </row>
    <row r="291" spans="1:17" ht="14.25" customHeight="1" x14ac:dyDescent="0.25">
      <c r="A291" s="4"/>
      <c r="B291" s="21">
        <v>44205</v>
      </c>
      <c r="C291" s="5">
        <f t="shared" si="8"/>
        <v>2</v>
      </c>
      <c r="D291" s="5">
        <f t="shared" si="9"/>
        <v>7</v>
      </c>
      <c r="E291" s="1" t="s">
        <v>7</v>
      </c>
      <c r="F291" s="1" t="s">
        <v>14</v>
      </c>
      <c r="G291">
        <v>47393</v>
      </c>
      <c r="H291">
        <v>100284</v>
      </c>
      <c r="I291" s="4"/>
      <c r="J291" s="22">
        <v>0.39999999999999997</v>
      </c>
      <c r="K291" s="22">
        <v>0.9291666666666667</v>
      </c>
      <c r="L291" s="4"/>
      <c r="M291" s="4"/>
      <c r="N291" t="s">
        <v>1165</v>
      </c>
      <c r="O291" s="4"/>
      <c r="P291" t="s">
        <v>322</v>
      </c>
      <c r="Q291">
        <v>20</v>
      </c>
    </row>
    <row r="292" spans="1:17" ht="14.25" customHeight="1" x14ac:dyDescent="0.25">
      <c r="A292" s="4"/>
      <c r="B292" s="21">
        <v>44205</v>
      </c>
      <c r="C292" s="5">
        <f t="shared" si="8"/>
        <v>2</v>
      </c>
      <c r="D292" s="5">
        <f t="shared" si="9"/>
        <v>7</v>
      </c>
      <c r="E292" s="1" t="s">
        <v>6</v>
      </c>
      <c r="F292" s="1" t="s">
        <v>13</v>
      </c>
      <c r="G292">
        <v>47393</v>
      </c>
      <c r="H292">
        <v>100285</v>
      </c>
      <c r="I292" s="4"/>
      <c r="J292" s="22">
        <v>0.44236111111111115</v>
      </c>
      <c r="K292" s="22">
        <v>0.6430555555555556</v>
      </c>
      <c r="L292" s="4"/>
      <c r="M292" s="4"/>
      <c r="N292" t="s">
        <v>1166</v>
      </c>
      <c r="O292" s="4"/>
      <c r="P292" t="s">
        <v>323</v>
      </c>
      <c r="Q292">
        <v>33</v>
      </c>
    </row>
    <row r="293" spans="1:17" ht="14.25" customHeight="1" x14ac:dyDescent="0.25">
      <c r="A293" s="4"/>
      <c r="B293" s="21">
        <v>44205</v>
      </c>
      <c r="C293" s="5">
        <f t="shared" si="8"/>
        <v>2</v>
      </c>
      <c r="D293" s="5">
        <f t="shared" si="9"/>
        <v>7</v>
      </c>
      <c r="E293" s="1" t="s">
        <v>5</v>
      </c>
      <c r="F293" s="1" t="s">
        <v>20</v>
      </c>
      <c r="G293">
        <v>47395</v>
      </c>
      <c r="H293">
        <v>100286</v>
      </c>
      <c r="I293" s="4"/>
      <c r="J293" s="22">
        <v>0.3979166666666667</v>
      </c>
      <c r="K293" s="22">
        <v>0.18541666666666667</v>
      </c>
      <c r="L293" s="4"/>
      <c r="M293" s="4"/>
      <c r="N293" t="s">
        <v>1167</v>
      </c>
      <c r="O293" s="4"/>
      <c r="P293" t="s">
        <v>324</v>
      </c>
      <c r="Q293">
        <v>30</v>
      </c>
    </row>
    <row r="294" spans="1:17" ht="14.25" customHeight="1" x14ac:dyDescent="0.25">
      <c r="A294" s="4"/>
      <c r="B294" s="21">
        <v>44205</v>
      </c>
      <c r="C294" s="5">
        <f t="shared" si="8"/>
        <v>2</v>
      </c>
      <c r="D294" s="5">
        <f t="shared" si="9"/>
        <v>7</v>
      </c>
      <c r="E294" s="1" t="s">
        <v>6</v>
      </c>
      <c r="F294" s="1" t="s">
        <v>11</v>
      </c>
      <c r="G294">
        <v>47395</v>
      </c>
      <c r="H294">
        <v>100286</v>
      </c>
      <c r="I294" s="4"/>
      <c r="J294" s="22">
        <v>0.2673611111111111</v>
      </c>
      <c r="K294" s="22">
        <v>2.0833333333333332E-2</v>
      </c>
      <c r="L294" s="4"/>
      <c r="M294" s="4"/>
      <c r="N294" t="s">
        <v>1168</v>
      </c>
      <c r="O294" s="4"/>
      <c r="P294" t="s">
        <v>325</v>
      </c>
      <c r="Q294">
        <v>27</v>
      </c>
    </row>
    <row r="295" spans="1:17" ht="14.25" customHeight="1" x14ac:dyDescent="0.25">
      <c r="A295" s="4"/>
      <c r="B295" s="21">
        <v>44205</v>
      </c>
      <c r="C295" s="5">
        <f t="shared" si="8"/>
        <v>2</v>
      </c>
      <c r="D295" s="5">
        <f t="shared" si="9"/>
        <v>7</v>
      </c>
      <c r="E295" s="1" t="s">
        <v>7</v>
      </c>
      <c r="F295" s="1" t="s">
        <v>14</v>
      </c>
      <c r="G295">
        <v>47396</v>
      </c>
      <c r="H295">
        <v>100288</v>
      </c>
      <c r="I295" s="4"/>
      <c r="J295" s="22">
        <v>0.35902777777777778</v>
      </c>
      <c r="K295" s="22">
        <v>0.91319444444444453</v>
      </c>
      <c r="L295" s="4"/>
      <c r="M295" s="4"/>
      <c r="N295" t="s">
        <v>1169</v>
      </c>
      <c r="O295" s="4"/>
      <c r="P295" t="s">
        <v>221</v>
      </c>
      <c r="Q295">
        <v>21</v>
      </c>
    </row>
    <row r="296" spans="1:17" ht="14.25" customHeight="1" x14ac:dyDescent="0.25">
      <c r="A296" s="4"/>
      <c r="B296" s="21">
        <v>44205</v>
      </c>
      <c r="C296" s="5">
        <f t="shared" si="8"/>
        <v>2</v>
      </c>
      <c r="D296" s="5">
        <f t="shared" si="9"/>
        <v>7</v>
      </c>
      <c r="E296" s="1" t="s">
        <v>7</v>
      </c>
      <c r="F296" s="1" t="s">
        <v>15</v>
      </c>
      <c r="G296">
        <v>47397</v>
      </c>
      <c r="H296">
        <v>100289</v>
      </c>
      <c r="I296" s="4"/>
      <c r="J296" s="22">
        <v>0.46458333333333335</v>
      </c>
      <c r="K296" s="22">
        <v>0.89513888888888893</v>
      </c>
      <c r="L296" s="4"/>
      <c r="M296" s="4"/>
      <c r="N296" t="s">
        <v>1170</v>
      </c>
      <c r="O296" s="4"/>
      <c r="P296" t="s">
        <v>326</v>
      </c>
      <c r="Q296">
        <v>25</v>
      </c>
    </row>
    <row r="297" spans="1:17" ht="14.25" customHeight="1" x14ac:dyDescent="0.25">
      <c r="A297" s="4"/>
      <c r="B297" s="21">
        <v>44205</v>
      </c>
      <c r="C297" s="5">
        <f t="shared" si="8"/>
        <v>2</v>
      </c>
      <c r="D297" s="5">
        <f t="shared" si="9"/>
        <v>7</v>
      </c>
      <c r="E297" s="1" t="s">
        <v>5</v>
      </c>
      <c r="F297" s="1" t="s">
        <v>19</v>
      </c>
      <c r="G297">
        <v>47397</v>
      </c>
      <c r="H297">
        <v>100289</v>
      </c>
      <c r="I297" s="4"/>
      <c r="J297" s="22">
        <v>0.35069444444444442</v>
      </c>
      <c r="K297" s="22">
        <v>0.73055555555555562</v>
      </c>
      <c r="L297" s="4"/>
      <c r="M297" s="4"/>
      <c r="N297" t="s">
        <v>1171</v>
      </c>
      <c r="O297" s="4"/>
      <c r="P297" t="s">
        <v>81</v>
      </c>
      <c r="Q297">
        <v>14</v>
      </c>
    </row>
    <row r="298" spans="1:17" ht="14.25" customHeight="1" x14ac:dyDescent="0.25">
      <c r="A298" s="4"/>
      <c r="B298" s="21">
        <v>44205</v>
      </c>
      <c r="C298" s="5">
        <f t="shared" si="8"/>
        <v>2</v>
      </c>
      <c r="D298" s="5">
        <f t="shared" si="9"/>
        <v>7</v>
      </c>
      <c r="E298" s="1" t="s">
        <v>6</v>
      </c>
      <c r="F298" s="1" t="s">
        <v>13</v>
      </c>
      <c r="G298">
        <v>47397</v>
      </c>
      <c r="H298">
        <v>100290</v>
      </c>
      <c r="I298" s="4"/>
      <c r="J298" s="22">
        <v>0.45833333333333331</v>
      </c>
      <c r="K298" s="22">
        <v>2.9166666666666664E-2</v>
      </c>
      <c r="L298" s="4"/>
      <c r="M298" s="4"/>
      <c r="N298" t="s">
        <v>1172</v>
      </c>
      <c r="O298" s="4"/>
      <c r="P298" t="s">
        <v>327</v>
      </c>
      <c r="Q298">
        <v>10</v>
      </c>
    </row>
    <row r="299" spans="1:17" ht="14.25" customHeight="1" x14ac:dyDescent="0.25">
      <c r="A299" s="4"/>
      <c r="B299" s="21">
        <v>44205</v>
      </c>
      <c r="C299" s="5">
        <f t="shared" si="8"/>
        <v>2</v>
      </c>
      <c r="D299" s="5">
        <f t="shared" si="9"/>
        <v>7</v>
      </c>
      <c r="E299" s="1" t="s">
        <v>5</v>
      </c>
      <c r="F299" s="1" t="s">
        <v>19</v>
      </c>
      <c r="G299">
        <v>47397</v>
      </c>
      <c r="H299">
        <v>100291</v>
      </c>
      <c r="I299" s="4"/>
      <c r="J299" s="22">
        <v>0.25763888888888892</v>
      </c>
      <c r="K299" s="22">
        <v>0.40625</v>
      </c>
      <c r="L299" s="4"/>
      <c r="M299" s="4"/>
      <c r="N299" t="s">
        <v>1173</v>
      </c>
      <c r="O299" s="4"/>
      <c r="P299" t="s">
        <v>328</v>
      </c>
      <c r="Q299">
        <v>32</v>
      </c>
    </row>
    <row r="300" spans="1:17" ht="14.25" customHeight="1" x14ac:dyDescent="0.25">
      <c r="A300" s="4"/>
      <c r="B300" s="21">
        <v>44205</v>
      </c>
      <c r="C300" s="5">
        <f t="shared" si="8"/>
        <v>2</v>
      </c>
      <c r="D300" s="5">
        <f t="shared" si="9"/>
        <v>7</v>
      </c>
      <c r="E300" s="1" t="s">
        <v>5</v>
      </c>
      <c r="F300" s="1" t="s">
        <v>20</v>
      </c>
      <c r="G300">
        <v>47402</v>
      </c>
      <c r="H300">
        <v>100293</v>
      </c>
      <c r="I300" s="4"/>
      <c r="J300" s="22">
        <v>0.27847222222222223</v>
      </c>
      <c r="K300" s="22">
        <v>0.28402777777777777</v>
      </c>
      <c r="L300" s="4"/>
      <c r="M300" s="4"/>
      <c r="N300" t="s">
        <v>1174</v>
      </c>
      <c r="O300" s="4"/>
      <c r="P300" t="s">
        <v>329</v>
      </c>
      <c r="Q300">
        <v>10</v>
      </c>
    </row>
    <row r="301" spans="1:17" ht="14.25" customHeight="1" x14ac:dyDescent="0.25">
      <c r="A301" s="4"/>
      <c r="B301" s="21">
        <v>44205</v>
      </c>
      <c r="C301" s="5">
        <f t="shared" si="8"/>
        <v>2</v>
      </c>
      <c r="D301" s="5">
        <f t="shared" si="9"/>
        <v>7</v>
      </c>
      <c r="E301" s="1" t="s">
        <v>7</v>
      </c>
      <c r="F301" s="1" t="s">
        <v>14</v>
      </c>
      <c r="G301">
        <v>47403</v>
      </c>
      <c r="H301">
        <v>100295</v>
      </c>
      <c r="I301" s="4"/>
      <c r="J301" s="22">
        <v>0.30138888888888887</v>
      </c>
      <c r="K301" s="22">
        <v>0.32777777777777778</v>
      </c>
      <c r="L301" s="4"/>
      <c r="M301" s="4"/>
      <c r="N301" t="s">
        <v>1175</v>
      </c>
      <c r="O301" s="4"/>
      <c r="P301" t="s">
        <v>330</v>
      </c>
      <c r="Q301">
        <v>31</v>
      </c>
    </row>
    <row r="302" spans="1:17" ht="14.25" customHeight="1" x14ac:dyDescent="0.25">
      <c r="A302" s="4"/>
      <c r="B302" s="21">
        <v>44205</v>
      </c>
      <c r="C302" s="5">
        <f t="shared" si="8"/>
        <v>2</v>
      </c>
      <c r="D302" s="5">
        <f t="shared" si="9"/>
        <v>7</v>
      </c>
      <c r="E302" s="1" t="s">
        <v>5</v>
      </c>
      <c r="F302" s="1" t="s">
        <v>20</v>
      </c>
      <c r="G302">
        <v>47403</v>
      </c>
      <c r="H302">
        <v>100296</v>
      </c>
      <c r="I302" s="4"/>
      <c r="J302" s="22">
        <v>0.33402777777777781</v>
      </c>
      <c r="K302" s="22">
        <v>0.99861111111111101</v>
      </c>
      <c r="L302" s="4"/>
      <c r="M302" s="4"/>
      <c r="N302" t="s">
        <v>1176</v>
      </c>
      <c r="O302" s="4"/>
      <c r="P302" t="s">
        <v>331</v>
      </c>
      <c r="Q302">
        <v>31</v>
      </c>
    </row>
    <row r="303" spans="1:17" ht="14.25" customHeight="1" x14ac:dyDescent="0.25">
      <c r="A303" s="4"/>
      <c r="B303" s="21">
        <v>44205</v>
      </c>
      <c r="C303" s="5">
        <f t="shared" si="8"/>
        <v>2</v>
      </c>
      <c r="D303" s="5">
        <f t="shared" si="9"/>
        <v>7</v>
      </c>
      <c r="E303" s="1" t="s">
        <v>5</v>
      </c>
      <c r="F303" s="1" t="s">
        <v>17</v>
      </c>
      <c r="G303">
        <v>47404</v>
      </c>
      <c r="H303">
        <v>100296</v>
      </c>
      <c r="I303" s="4"/>
      <c r="J303" s="22">
        <v>0.43402777777777773</v>
      </c>
      <c r="K303" s="22">
        <v>0.31805555555555554</v>
      </c>
      <c r="L303" s="4"/>
      <c r="M303" s="4"/>
      <c r="N303" t="s">
        <v>1177</v>
      </c>
      <c r="O303" s="4"/>
      <c r="P303" t="s">
        <v>332</v>
      </c>
      <c r="Q303">
        <v>8</v>
      </c>
    </row>
    <row r="304" spans="1:17" ht="14.25" customHeight="1" x14ac:dyDescent="0.25">
      <c r="A304" s="4"/>
      <c r="B304" s="21">
        <v>44205</v>
      </c>
      <c r="C304" s="5">
        <f t="shared" si="8"/>
        <v>2</v>
      </c>
      <c r="D304" s="5">
        <f t="shared" si="9"/>
        <v>7</v>
      </c>
      <c r="E304" s="1" t="s">
        <v>7</v>
      </c>
      <c r="F304" s="1" t="s">
        <v>14</v>
      </c>
      <c r="G304">
        <v>47404</v>
      </c>
      <c r="H304">
        <v>100297</v>
      </c>
      <c r="I304" s="4"/>
      <c r="J304" s="22">
        <v>0.41180555555555554</v>
      </c>
      <c r="K304" s="22">
        <v>0.68680555555555556</v>
      </c>
      <c r="L304" s="4"/>
      <c r="M304" s="4"/>
      <c r="N304" t="s">
        <v>1178</v>
      </c>
      <c r="O304" s="4"/>
      <c r="P304" t="s">
        <v>333</v>
      </c>
      <c r="Q304">
        <v>19</v>
      </c>
    </row>
    <row r="305" spans="1:17" ht="14.25" customHeight="1" x14ac:dyDescent="0.25">
      <c r="A305" s="4"/>
      <c r="B305" s="21">
        <v>44206</v>
      </c>
      <c r="C305" s="5">
        <f t="shared" si="8"/>
        <v>3</v>
      </c>
      <c r="D305" s="5">
        <f t="shared" si="9"/>
        <v>1</v>
      </c>
      <c r="E305" s="1" t="s">
        <v>7</v>
      </c>
      <c r="F305" s="1" t="s">
        <v>14</v>
      </c>
      <c r="G305">
        <v>47405</v>
      </c>
      <c r="H305">
        <v>100298</v>
      </c>
      <c r="I305" s="4"/>
      <c r="J305" s="22">
        <v>0.27291666666666664</v>
      </c>
      <c r="K305" s="22">
        <v>0.28055555555555556</v>
      </c>
      <c r="L305" s="4"/>
      <c r="M305" s="4"/>
      <c r="N305" t="s">
        <v>1179</v>
      </c>
      <c r="O305" s="4"/>
      <c r="P305" t="s">
        <v>334</v>
      </c>
      <c r="Q305">
        <v>13</v>
      </c>
    </row>
    <row r="306" spans="1:17" ht="14.25" customHeight="1" x14ac:dyDescent="0.25">
      <c r="A306" s="4"/>
      <c r="B306" s="21">
        <v>44206</v>
      </c>
      <c r="C306" s="5">
        <f t="shared" si="8"/>
        <v>3</v>
      </c>
      <c r="D306" s="5">
        <f t="shared" si="9"/>
        <v>1</v>
      </c>
      <c r="E306" s="1" t="s">
        <v>6</v>
      </c>
      <c r="F306" s="1" t="s">
        <v>12</v>
      </c>
      <c r="G306">
        <v>47406</v>
      </c>
      <c r="H306">
        <v>100300</v>
      </c>
      <c r="I306" s="4"/>
      <c r="J306" s="22">
        <v>0.26874999999999999</v>
      </c>
      <c r="K306" s="22">
        <v>0.4993055555555555</v>
      </c>
      <c r="L306" s="4"/>
      <c r="M306" s="4"/>
      <c r="N306" t="s">
        <v>1180</v>
      </c>
      <c r="O306" s="4"/>
      <c r="P306" t="s">
        <v>335</v>
      </c>
      <c r="Q306">
        <v>19</v>
      </c>
    </row>
    <row r="307" spans="1:17" ht="14.25" customHeight="1" x14ac:dyDescent="0.25">
      <c r="A307" s="4"/>
      <c r="B307" s="21">
        <v>44206</v>
      </c>
      <c r="C307" s="5">
        <f t="shared" si="8"/>
        <v>3</v>
      </c>
      <c r="D307" s="5">
        <f t="shared" si="9"/>
        <v>1</v>
      </c>
      <c r="E307" s="1" t="s">
        <v>6</v>
      </c>
      <c r="F307" s="1" t="s">
        <v>11</v>
      </c>
      <c r="G307">
        <v>47407</v>
      </c>
      <c r="H307">
        <v>100302</v>
      </c>
      <c r="I307" s="4"/>
      <c r="J307" s="22">
        <v>0.39166666666666666</v>
      </c>
      <c r="K307" s="22">
        <v>7.9166666666666663E-2</v>
      </c>
      <c r="L307" s="4"/>
      <c r="M307" s="4"/>
      <c r="N307" t="s">
        <v>1181</v>
      </c>
      <c r="O307" s="4"/>
      <c r="P307" t="s">
        <v>336</v>
      </c>
      <c r="Q307">
        <v>1</v>
      </c>
    </row>
    <row r="308" spans="1:17" ht="14.25" customHeight="1" x14ac:dyDescent="0.25">
      <c r="A308" s="4"/>
      <c r="B308" s="21">
        <v>44206</v>
      </c>
      <c r="C308" s="5">
        <f t="shared" si="8"/>
        <v>3</v>
      </c>
      <c r="D308" s="5">
        <f t="shared" si="9"/>
        <v>1</v>
      </c>
      <c r="E308" s="1" t="s">
        <v>7</v>
      </c>
      <c r="F308" s="1" t="s">
        <v>14</v>
      </c>
      <c r="G308">
        <v>47408</v>
      </c>
      <c r="H308">
        <v>100302</v>
      </c>
      <c r="I308" s="4"/>
      <c r="J308" s="22">
        <v>0.45416666666666666</v>
      </c>
      <c r="K308" s="22">
        <v>0.87777777777777777</v>
      </c>
      <c r="L308" s="4"/>
      <c r="M308" s="4"/>
      <c r="N308" t="s">
        <v>1182</v>
      </c>
      <c r="O308" s="4"/>
      <c r="P308" t="s">
        <v>261</v>
      </c>
      <c r="Q308">
        <v>20</v>
      </c>
    </row>
    <row r="309" spans="1:17" ht="14.25" customHeight="1" x14ac:dyDescent="0.25">
      <c r="A309" s="4"/>
      <c r="B309" s="21">
        <v>44206</v>
      </c>
      <c r="C309" s="5">
        <f t="shared" si="8"/>
        <v>3</v>
      </c>
      <c r="D309" s="5">
        <f t="shared" si="9"/>
        <v>1</v>
      </c>
      <c r="E309" s="1" t="s">
        <v>6</v>
      </c>
      <c r="F309" s="1" t="s">
        <v>13</v>
      </c>
      <c r="G309">
        <v>47408</v>
      </c>
      <c r="H309">
        <v>100303</v>
      </c>
      <c r="I309" s="4"/>
      <c r="J309" s="22">
        <v>0.41597222222222219</v>
      </c>
      <c r="K309" s="22">
        <v>9.1666666666666674E-2</v>
      </c>
      <c r="L309" s="4"/>
      <c r="M309" s="4"/>
      <c r="N309" t="s">
        <v>1183</v>
      </c>
      <c r="O309" s="4"/>
      <c r="P309" t="s">
        <v>337</v>
      </c>
      <c r="Q309">
        <v>6</v>
      </c>
    </row>
    <row r="310" spans="1:17" ht="14.25" customHeight="1" x14ac:dyDescent="0.25">
      <c r="A310" s="4"/>
      <c r="B310" s="21">
        <v>44206</v>
      </c>
      <c r="C310" s="5">
        <f t="shared" si="8"/>
        <v>3</v>
      </c>
      <c r="D310" s="5">
        <f t="shared" si="9"/>
        <v>1</v>
      </c>
      <c r="E310" s="1" t="s">
        <v>5</v>
      </c>
      <c r="F310" s="1" t="s">
        <v>19</v>
      </c>
      <c r="G310">
        <v>47412</v>
      </c>
      <c r="H310">
        <v>100304</v>
      </c>
      <c r="I310" s="4"/>
      <c r="J310" s="22">
        <v>0.27499999999999997</v>
      </c>
      <c r="K310" s="22">
        <v>0.99375000000000002</v>
      </c>
      <c r="L310" s="4"/>
      <c r="M310" s="4"/>
      <c r="N310" t="s">
        <v>1184</v>
      </c>
      <c r="O310" s="4"/>
      <c r="P310" t="s">
        <v>338</v>
      </c>
      <c r="Q310">
        <v>19</v>
      </c>
    </row>
    <row r="311" spans="1:17" ht="14.25" customHeight="1" x14ac:dyDescent="0.25">
      <c r="A311" s="4"/>
      <c r="B311" s="21">
        <v>44206</v>
      </c>
      <c r="C311" s="5">
        <f t="shared" si="8"/>
        <v>3</v>
      </c>
      <c r="D311" s="5">
        <f t="shared" si="9"/>
        <v>1</v>
      </c>
      <c r="E311" s="1" t="s">
        <v>5</v>
      </c>
      <c r="F311" s="1" t="s">
        <v>18</v>
      </c>
      <c r="G311">
        <v>47412</v>
      </c>
      <c r="H311">
        <v>100306</v>
      </c>
      <c r="I311" s="4"/>
      <c r="J311" s="22">
        <v>0.4236111111111111</v>
      </c>
      <c r="K311" s="22">
        <v>0.88680555555555562</v>
      </c>
      <c r="L311" s="4"/>
      <c r="M311" s="4"/>
      <c r="N311" t="s">
        <v>1185</v>
      </c>
      <c r="O311" s="4"/>
      <c r="P311" t="s">
        <v>339</v>
      </c>
      <c r="Q311">
        <v>31</v>
      </c>
    </row>
    <row r="312" spans="1:17" ht="14.25" customHeight="1" x14ac:dyDescent="0.25">
      <c r="A312" s="4"/>
      <c r="B312" s="21">
        <v>44206</v>
      </c>
      <c r="C312" s="5">
        <f t="shared" si="8"/>
        <v>3</v>
      </c>
      <c r="D312" s="5">
        <f t="shared" si="9"/>
        <v>1</v>
      </c>
      <c r="E312" s="1" t="s">
        <v>5</v>
      </c>
      <c r="F312" s="1" t="s">
        <v>18</v>
      </c>
      <c r="G312">
        <v>47412</v>
      </c>
      <c r="H312">
        <v>100308</v>
      </c>
      <c r="I312" s="4"/>
      <c r="J312" s="22">
        <v>0.31875000000000003</v>
      </c>
      <c r="K312" s="22">
        <v>0.24583333333333335</v>
      </c>
      <c r="L312" s="4"/>
      <c r="M312" s="4"/>
      <c r="N312" t="s">
        <v>1186</v>
      </c>
      <c r="O312" s="4"/>
      <c r="P312" t="s">
        <v>340</v>
      </c>
      <c r="Q312">
        <v>20</v>
      </c>
    </row>
    <row r="313" spans="1:17" ht="14.25" customHeight="1" x14ac:dyDescent="0.25">
      <c r="A313" s="4"/>
      <c r="B313" s="21">
        <v>44206</v>
      </c>
      <c r="C313" s="5">
        <f t="shared" si="8"/>
        <v>3</v>
      </c>
      <c r="D313" s="5">
        <f t="shared" si="9"/>
        <v>1</v>
      </c>
      <c r="E313" s="1" t="s">
        <v>5</v>
      </c>
      <c r="F313" s="1" t="s">
        <v>18</v>
      </c>
      <c r="G313">
        <v>47413</v>
      </c>
      <c r="H313">
        <v>100309</v>
      </c>
      <c r="I313" s="4"/>
      <c r="J313" s="22">
        <v>0.25972222222222224</v>
      </c>
      <c r="K313" s="22">
        <v>0.90694444444444444</v>
      </c>
      <c r="L313" s="4"/>
      <c r="M313" s="4"/>
      <c r="N313" t="s">
        <v>1187</v>
      </c>
      <c r="O313" s="4"/>
      <c r="P313" t="s">
        <v>341</v>
      </c>
      <c r="Q313">
        <v>1</v>
      </c>
    </row>
    <row r="314" spans="1:17" ht="14.25" customHeight="1" x14ac:dyDescent="0.25">
      <c r="A314" s="4"/>
      <c r="B314" s="21">
        <v>44206</v>
      </c>
      <c r="C314" s="5">
        <f t="shared" si="8"/>
        <v>3</v>
      </c>
      <c r="D314" s="5">
        <f t="shared" si="9"/>
        <v>1</v>
      </c>
      <c r="E314" s="1" t="s">
        <v>5</v>
      </c>
      <c r="F314" s="1" t="s">
        <v>20</v>
      </c>
      <c r="G314">
        <v>47414</v>
      </c>
      <c r="H314">
        <v>100312</v>
      </c>
      <c r="I314" s="4"/>
      <c r="J314" s="22">
        <v>0.32083333333333336</v>
      </c>
      <c r="K314" s="22">
        <v>0.19375000000000001</v>
      </c>
      <c r="L314" s="4"/>
      <c r="M314" s="4"/>
      <c r="N314" t="s">
        <v>1188</v>
      </c>
      <c r="O314" s="4"/>
      <c r="P314" t="s">
        <v>342</v>
      </c>
      <c r="Q314">
        <v>28</v>
      </c>
    </row>
    <row r="315" spans="1:17" ht="14.25" customHeight="1" x14ac:dyDescent="0.25">
      <c r="A315" s="4"/>
      <c r="B315" s="21">
        <v>44206</v>
      </c>
      <c r="C315" s="5">
        <f t="shared" si="8"/>
        <v>3</v>
      </c>
      <c r="D315" s="5">
        <f t="shared" si="9"/>
        <v>1</v>
      </c>
      <c r="E315" s="1" t="s">
        <v>5</v>
      </c>
      <c r="F315" s="1" t="s">
        <v>17</v>
      </c>
      <c r="G315">
        <v>47414</v>
      </c>
      <c r="H315">
        <v>100312</v>
      </c>
      <c r="I315" s="4"/>
      <c r="J315" s="22">
        <v>0.4597222222222222</v>
      </c>
      <c r="K315" s="22">
        <v>0.90555555555555556</v>
      </c>
      <c r="L315" s="4"/>
      <c r="M315" s="4"/>
      <c r="N315" t="s">
        <v>1189</v>
      </c>
      <c r="O315" s="4"/>
      <c r="P315" t="s">
        <v>343</v>
      </c>
      <c r="Q315">
        <v>23</v>
      </c>
    </row>
    <row r="316" spans="1:17" ht="14.25" customHeight="1" x14ac:dyDescent="0.25">
      <c r="A316" s="4"/>
      <c r="B316" s="21">
        <v>44206</v>
      </c>
      <c r="C316" s="5">
        <f t="shared" si="8"/>
        <v>3</v>
      </c>
      <c r="D316" s="5">
        <f t="shared" si="9"/>
        <v>1</v>
      </c>
      <c r="E316" s="1" t="s">
        <v>5</v>
      </c>
      <c r="F316" s="1" t="s">
        <v>17</v>
      </c>
      <c r="G316">
        <v>47415</v>
      </c>
      <c r="H316">
        <v>100314</v>
      </c>
      <c r="I316" s="4"/>
      <c r="J316" s="22">
        <v>0.45555555555555555</v>
      </c>
      <c r="K316" s="22">
        <v>0.59375</v>
      </c>
      <c r="L316" s="4"/>
      <c r="M316" s="4"/>
      <c r="N316" t="s">
        <v>1190</v>
      </c>
      <c r="O316" s="4"/>
      <c r="P316" t="s">
        <v>344</v>
      </c>
      <c r="Q316">
        <v>1</v>
      </c>
    </row>
    <row r="317" spans="1:17" ht="14.25" customHeight="1" x14ac:dyDescent="0.25">
      <c r="A317" s="4"/>
      <c r="B317" s="21">
        <v>44206</v>
      </c>
      <c r="C317" s="5">
        <f t="shared" si="8"/>
        <v>3</v>
      </c>
      <c r="D317" s="5">
        <f t="shared" si="9"/>
        <v>1</v>
      </c>
      <c r="E317" s="1" t="s">
        <v>7</v>
      </c>
      <c r="F317" s="1" t="s">
        <v>15</v>
      </c>
      <c r="G317">
        <v>47417</v>
      </c>
      <c r="H317">
        <v>100314</v>
      </c>
      <c r="I317" s="4"/>
      <c r="J317" s="22">
        <v>0.25208333333333333</v>
      </c>
      <c r="K317" s="22">
        <v>0.57222222222222219</v>
      </c>
      <c r="L317" s="4"/>
      <c r="M317" s="4"/>
      <c r="N317" t="s">
        <v>1191</v>
      </c>
      <c r="O317" s="4"/>
      <c r="P317" t="s">
        <v>345</v>
      </c>
      <c r="Q317">
        <v>14</v>
      </c>
    </row>
    <row r="318" spans="1:17" ht="14.25" customHeight="1" x14ac:dyDescent="0.25">
      <c r="A318" s="4"/>
      <c r="B318" s="21">
        <v>44206</v>
      </c>
      <c r="C318" s="5">
        <f t="shared" si="8"/>
        <v>3</v>
      </c>
      <c r="D318" s="5">
        <f t="shared" si="9"/>
        <v>1</v>
      </c>
      <c r="E318" s="1" t="s">
        <v>5</v>
      </c>
      <c r="F318" s="1" t="s">
        <v>20</v>
      </c>
      <c r="G318">
        <v>47421</v>
      </c>
      <c r="H318">
        <v>100314</v>
      </c>
      <c r="I318" s="4"/>
      <c r="J318" s="22">
        <v>0.4069444444444445</v>
      </c>
      <c r="K318" s="22">
        <v>5.347222222222222E-2</v>
      </c>
      <c r="L318" s="4"/>
      <c r="M318" s="4"/>
      <c r="N318" t="s">
        <v>1192</v>
      </c>
      <c r="O318" s="4"/>
      <c r="P318" t="s">
        <v>346</v>
      </c>
      <c r="Q318">
        <v>6</v>
      </c>
    </row>
    <row r="319" spans="1:17" ht="14.25" customHeight="1" x14ac:dyDescent="0.25">
      <c r="A319" s="4"/>
      <c r="B319" s="21">
        <v>44206</v>
      </c>
      <c r="C319" s="5">
        <f t="shared" si="8"/>
        <v>3</v>
      </c>
      <c r="D319" s="5">
        <f t="shared" si="9"/>
        <v>1</v>
      </c>
      <c r="E319" s="1" t="s">
        <v>5</v>
      </c>
      <c r="F319" s="1" t="s">
        <v>19</v>
      </c>
      <c r="G319">
        <v>47422</v>
      </c>
      <c r="H319">
        <v>100315</v>
      </c>
      <c r="I319" s="4"/>
      <c r="J319" s="22">
        <v>0.39444444444444443</v>
      </c>
      <c r="K319" s="22">
        <v>0.43055555555555558</v>
      </c>
      <c r="L319" s="4"/>
      <c r="M319" s="4"/>
      <c r="N319" t="s">
        <v>1193</v>
      </c>
      <c r="O319" s="4"/>
      <c r="P319" t="s">
        <v>347</v>
      </c>
      <c r="Q319">
        <v>8</v>
      </c>
    </row>
    <row r="320" spans="1:17" ht="14.25" customHeight="1" x14ac:dyDescent="0.25">
      <c r="A320" s="4"/>
      <c r="B320" s="21">
        <v>44206</v>
      </c>
      <c r="C320" s="5">
        <f t="shared" si="8"/>
        <v>3</v>
      </c>
      <c r="D320" s="5">
        <f t="shared" si="9"/>
        <v>1</v>
      </c>
      <c r="E320" s="1" t="s">
        <v>5</v>
      </c>
      <c r="F320" s="1" t="s">
        <v>20</v>
      </c>
      <c r="G320">
        <v>47426</v>
      </c>
      <c r="H320">
        <v>100319</v>
      </c>
      <c r="I320" s="4"/>
      <c r="J320" s="22">
        <v>0.29305555555555557</v>
      </c>
      <c r="K320" s="22">
        <v>0.79861111111111116</v>
      </c>
      <c r="L320" s="4"/>
      <c r="M320" s="4"/>
      <c r="N320" t="s">
        <v>1194</v>
      </c>
      <c r="O320" s="4"/>
      <c r="P320" t="s">
        <v>348</v>
      </c>
      <c r="Q320">
        <v>31</v>
      </c>
    </row>
    <row r="321" spans="1:17" ht="14.25" customHeight="1" x14ac:dyDescent="0.25">
      <c r="A321" s="4"/>
      <c r="B321" s="21">
        <v>44206</v>
      </c>
      <c r="C321" s="5">
        <f t="shared" si="8"/>
        <v>3</v>
      </c>
      <c r="D321" s="5">
        <f t="shared" si="9"/>
        <v>1</v>
      </c>
      <c r="E321" s="1" t="s">
        <v>5</v>
      </c>
      <c r="F321" s="1" t="s">
        <v>17</v>
      </c>
      <c r="G321">
        <v>47427</v>
      </c>
      <c r="H321">
        <v>100322</v>
      </c>
      <c r="I321" s="4"/>
      <c r="J321" s="22">
        <v>0.26458333333333334</v>
      </c>
      <c r="K321" s="22">
        <v>0.73263888888888884</v>
      </c>
      <c r="L321" s="4"/>
      <c r="M321" s="4"/>
      <c r="N321" t="s">
        <v>1195</v>
      </c>
      <c r="O321" s="4"/>
      <c r="P321" t="s">
        <v>349</v>
      </c>
      <c r="Q321">
        <v>20</v>
      </c>
    </row>
    <row r="322" spans="1:17" ht="14.25" customHeight="1" x14ac:dyDescent="0.25">
      <c r="A322" s="4"/>
      <c r="B322" s="21">
        <v>44206</v>
      </c>
      <c r="C322" s="5">
        <f t="shared" si="8"/>
        <v>3</v>
      </c>
      <c r="D322" s="5">
        <f t="shared" si="9"/>
        <v>1</v>
      </c>
      <c r="E322" s="1" t="s">
        <v>7</v>
      </c>
      <c r="F322" s="1" t="s">
        <v>14</v>
      </c>
      <c r="G322">
        <v>47429</v>
      </c>
      <c r="H322">
        <v>100324</v>
      </c>
      <c r="I322" s="4"/>
      <c r="J322" s="22">
        <v>0.45069444444444445</v>
      </c>
      <c r="K322" s="22">
        <v>0.21944444444444444</v>
      </c>
      <c r="L322" s="4"/>
      <c r="M322" s="4"/>
      <c r="N322" t="s">
        <v>1196</v>
      </c>
      <c r="O322" s="4"/>
      <c r="P322" t="s">
        <v>350</v>
      </c>
      <c r="Q322">
        <v>1</v>
      </c>
    </row>
    <row r="323" spans="1:17" ht="14.25" customHeight="1" x14ac:dyDescent="0.25">
      <c r="A323" s="4"/>
      <c r="B323" s="21">
        <v>44206</v>
      </c>
      <c r="C323" s="5">
        <f t="shared" ref="C323:C386" si="10">WEEKNUM(B323)</f>
        <v>3</v>
      </c>
      <c r="D323" s="5">
        <f t="shared" ref="D323:D386" si="11">WEEKDAY(B323)</f>
        <v>1</v>
      </c>
      <c r="E323" s="1" t="s">
        <v>7</v>
      </c>
      <c r="F323" s="1" t="s">
        <v>15</v>
      </c>
      <c r="G323">
        <v>47429</v>
      </c>
      <c r="H323">
        <v>100325</v>
      </c>
      <c r="I323" s="4"/>
      <c r="J323" s="22">
        <v>0.27013888888888887</v>
      </c>
      <c r="K323" s="22">
        <v>0.46111111111111108</v>
      </c>
      <c r="L323" s="4"/>
      <c r="M323" s="4"/>
      <c r="N323" t="s">
        <v>1197</v>
      </c>
      <c r="O323" s="4"/>
      <c r="P323" t="s">
        <v>351</v>
      </c>
      <c r="Q323">
        <v>4</v>
      </c>
    </row>
    <row r="324" spans="1:17" ht="14.25" customHeight="1" x14ac:dyDescent="0.25">
      <c r="A324" s="4"/>
      <c r="B324" s="21">
        <v>44206</v>
      </c>
      <c r="C324" s="5">
        <f t="shared" si="10"/>
        <v>3</v>
      </c>
      <c r="D324" s="5">
        <f t="shared" si="11"/>
        <v>1</v>
      </c>
      <c r="E324" s="1" t="s">
        <v>5</v>
      </c>
      <c r="F324" s="1" t="s">
        <v>19</v>
      </c>
      <c r="G324">
        <v>47430</v>
      </c>
      <c r="H324">
        <v>100327</v>
      </c>
      <c r="I324" s="4"/>
      <c r="J324" s="22">
        <v>0.38750000000000001</v>
      </c>
      <c r="K324" s="22">
        <v>9.0277777777777787E-3</v>
      </c>
      <c r="L324" s="4"/>
      <c r="M324" s="4"/>
      <c r="N324" t="s">
        <v>1198</v>
      </c>
      <c r="O324" s="4"/>
      <c r="P324" t="s">
        <v>352</v>
      </c>
      <c r="Q324">
        <v>26</v>
      </c>
    </row>
    <row r="325" spans="1:17" ht="14.25" customHeight="1" x14ac:dyDescent="0.25">
      <c r="A325" s="4"/>
      <c r="B325" s="21">
        <v>44206</v>
      </c>
      <c r="C325" s="5">
        <f t="shared" si="10"/>
        <v>3</v>
      </c>
      <c r="D325" s="5">
        <f t="shared" si="11"/>
        <v>1</v>
      </c>
      <c r="E325" s="1" t="s">
        <v>5</v>
      </c>
      <c r="F325" s="1" t="s">
        <v>20</v>
      </c>
      <c r="G325">
        <v>47432</v>
      </c>
      <c r="H325">
        <v>100329</v>
      </c>
      <c r="I325" s="4"/>
      <c r="J325" s="22">
        <v>0.3354166666666667</v>
      </c>
      <c r="K325" s="22">
        <v>0.61944444444444446</v>
      </c>
      <c r="L325" s="4"/>
      <c r="M325" s="4"/>
      <c r="N325" t="s">
        <v>1199</v>
      </c>
      <c r="O325" s="4"/>
      <c r="P325" t="s">
        <v>353</v>
      </c>
      <c r="Q325">
        <v>23</v>
      </c>
    </row>
    <row r="326" spans="1:17" ht="14.25" customHeight="1" x14ac:dyDescent="0.25">
      <c r="A326" s="4"/>
      <c r="B326" s="21">
        <v>44206</v>
      </c>
      <c r="C326" s="5">
        <f t="shared" si="10"/>
        <v>3</v>
      </c>
      <c r="D326" s="5">
        <f t="shared" si="11"/>
        <v>1</v>
      </c>
      <c r="E326" s="1" t="s">
        <v>6</v>
      </c>
      <c r="F326" s="1" t="s">
        <v>13</v>
      </c>
      <c r="G326">
        <v>47435</v>
      </c>
      <c r="H326">
        <v>100332</v>
      </c>
      <c r="I326" s="4"/>
      <c r="J326" s="22">
        <v>0.34513888888888888</v>
      </c>
      <c r="K326" s="22">
        <v>3.888888888888889E-2</v>
      </c>
      <c r="L326" s="4"/>
      <c r="M326" s="4"/>
      <c r="N326" t="s">
        <v>1200</v>
      </c>
      <c r="O326" s="4"/>
      <c r="P326" t="s">
        <v>354</v>
      </c>
      <c r="Q326">
        <v>6</v>
      </c>
    </row>
    <row r="327" spans="1:17" ht="14.25" customHeight="1" x14ac:dyDescent="0.25">
      <c r="A327" s="4"/>
      <c r="B327" s="21">
        <v>44206</v>
      </c>
      <c r="C327" s="5">
        <f t="shared" si="10"/>
        <v>3</v>
      </c>
      <c r="D327" s="5">
        <f t="shared" si="11"/>
        <v>1</v>
      </c>
      <c r="E327" s="1" t="s">
        <v>6</v>
      </c>
      <c r="F327" s="1" t="s">
        <v>11</v>
      </c>
      <c r="G327">
        <v>47435</v>
      </c>
      <c r="H327">
        <v>100332</v>
      </c>
      <c r="I327" s="4"/>
      <c r="J327" s="22">
        <v>0.43333333333333335</v>
      </c>
      <c r="K327" s="22">
        <v>0.34166666666666662</v>
      </c>
      <c r="L327" s="4"/>
      <c r="M327" s="4"/>
      <c r="N327" t="s">
        <v>1201</v>
      </c>
      <c r="O327" s="4"/>
      <c r="P327" t="s">
        <v>355</v>
      </c>
      <c r="Q327">
        <v>2</v>
      </c>
    </row>
    <row r="328" spans="1:17" ht="14.25" customHeight="1" x14ac:dyDescent="0.25">
      <c r="A328" s="4"/>
      <c r="B328" s="21">
        <v>44206</v>
      </c>
      <c r="C328" s="5">
        <f t="shared" si="10"/>
        <v>3</v>
      </c>
      <c r="D328" s="5">
        <f t="shared" si="11"/>
        <v>1</v>
      </c>
      <c r="E328" s="1" t="s">
        <v>6</v>
      </c>
      <c r="F328" s="1" t="s">
        <v>12</v>
      </c>
      <c r="G328">
        <v>47435</v>
      </c>
      <c r="H328">
        <v>100334</v>
      </c>
      <c r="I328" s="4"/>
      <c r="J328" s="22">
        <v>0.39930555555555558</v>
      </c>
      <c r="K328" s="22">
        <v>0.71944444444444444</v>
      </c>
      <c r="L328" s="4"/>
      <c r="M328" s="4"/>
      <c r="N328" t="s">
        <v>1202</v>
      </c>
      <c r="O328" s="4"/>
      <c r="P328" t="s">
        <v>356</v>
      </c>
      <c r="Q328">
        <v>31</v>
      </c>
    </row>
    <row r="329" spans="1:17" ht="14.25" customHeight="1" x14ac:dyDescent="0.25">
      <c r="A329" s="4"/>
      <c r="B329" s="21">
        <v>44206</v>
      </c>
      <c r="C329" s="5">
        <f t="shared" si="10"/>
        <v>3</v>
      </c>
      <c r="D329" s="5">
        <f t="shared" si="11"/>
        <v>1</v>
      </c>
      <c r="E329" s="1" t="s">
        <v>7</v>
      </c>
      <c r="F329" s="1" t="s">
        <v>16</v>
      </c>
      <c r="G329">
        <v>47436</v>
      </c>
      <c r="H329">
        <v>100335</v>
      </c>
      <c r="I329" s="4"/>
      <c r="J329" s="22">
        <v>0.4909722222222222</v>
      </c>
      <c r="K329" s="22">
        <v>0.47986111111111113</v>
      </c>
      <c r="L329" s="4"/>
      <c r="M329" s="4"/>
      <c r="N329" t="s">
        <v>1203</v>
      </c>
      <c r="O329" s="4"/>
      <c r="P329" t="s">
        <v>357</v>
      </c>
      <c r="Q329">
        <v>19</v>
      </c>
    </row>
    <row r="330" spans="1:17" ht="14.25" customHeight="1" x14ac:dyDescent="0.25">
      <c r="A330" s="4"/>
      <c r="B330" s="21">
        <v>44206</v>
      </c>
      <c r="C330" s="5">
        <f t="shared" si="10"/>
        <v>3</v>
      </c>
      <c r="D330" s="5">
        <f t="shared" si="11"/>
        <v>1</v>
      </c>
      <c r="E330" s="1" t="s">
        <v>7</v>
      </c>
      <c r="F330" s="1" t="s">
        <v>14</v>
      </c>
      <c r="G330">
        <v>47437</v>
      </c>
      <c r="H330">
        <v>100335</v>
      </c>
      <c r="I330" s="4"/>
      <c r="J330" s="22">
        <v>0.26250000000000001</v>
      </c>
      <c r="K330" s="22">
        <v>5.4166666666666669E-2</v>
      </c>
      <c r="L330" s="4"/>
      <c r="M330" s="4"/>
      <c r="N330" t="s">
        <v>1204</v>
      </c>
      <c r="O330" s="4"/>
      <c r="P330" t="s">
        <v>358</v>
      </c>
      <c r="Q330">
        <v>22</v>
      </c>
    </row>
    <row r="331" spans="1:17" ht="14.25" customHeight="1" x14ac:dyDescent="0.25">
      <c r="A331" s="4"/>
      <c r="B331" s="21">
        <v>44206</v>
      </c>
      <c r="C331" s="5">
        <f t="shared" si="10"/>
        <v>3</v>
      </c>
      <c r="D331" s="5">
        <f t="shared" si="11"/>
        <v>1</v>
      </c>
      <c r="E331" s="1" t="s">
        <v>5</v>
      </c>
      <c r="F331" s="1" t="s">
        <v>17</v>
      </c>
      <c r="G331">
        <v>47438</v>
      </c>
      <c r="H331">
        <v>100336</v>
      </c>
      <c r="I331" s="4"/>
      <c r="J331" s="22">
        <v>0.45833333333333331</v>
      </c>
      <c r="K331" s="22">
        <v>0.9916666666666667</v>
      </c>
      <c r="L331" s="4"/>
      <c r="M331" s="4"/>
      <c r="N331" t="s">
        <v>1205</v>
      </c>
      <c r="O331" s="4"/>
      <c r="P331" t="s">
        <v>176</v>
      </c>
      <c r="Q331">
        <v>17</v>
      </c>
    </row>
    <row r="332" spans="1:17" ht="14.25" customHeight="1" x14ac:dyDescent="0.25">
      <c r="A332" s="4"/>
      <c r="B332" s="21">
        <v>44206</v>
      </c>
      <c r="C332" s="5">
        <f t="shared" si="10"/>
        <v>3</v>
      </c>
      <c r="D332" s="5">
        <f t="shared" si="11"/>
        <v>1</v>
      </c>
      <c r="E332" s="1" t="s">
        <v>6</v>
      </c>
      <c r="F332" s="1" t="s">
        <v>13</v>
      </c>
      <c r="G332">
        <v>47440</v>
      </c>
      <c r="H332">
        <v>100337</v>
      </c>
      <c r="I332" s="4"/>
      <c r="J332" s="22">
        <v>0.3743055555555555</v>
      </c>
      <c r="K332" s="22">
        <v>0.7270833333333333</v>
      </c>
      <c r="L332" s="4"/>
      <c r="M332" s="4"/>
      <c r="N332" t="s">
        <v>1206</v>
      </c>
      <c r="O332" s="4"/>
      <c r="P332" t="s">
        <v>359</v>
      </c>
      <c r="Q332">
        <v>25</v>
      </c>
    </row>
    <row r="333" spans="1:17" ht="14.25" customHeight="1" x14ac:dyDescent="0.25">
      <c r="A333" s="4"/>
      <c r="B333" s="21">
        <v>44206</v>
      </c>
      <c r="C333" s="5">
        <f t="shared" si="10"/>
        <v>3</v>
      </c>
      <c r="D333" s="5">
        <f t="shared" si="11"/>
        <v>1</v>
      </c>
      <c r="E333" s="1" t="s">
        <v>7</v>
      </c>
      <c r="F333" s="1" t="s">
        <v>14</v>
      </c>
      <c r="G333">
        <v>47441</v>
      </c>
      <c r="H333">
        <v>100339</v>
      </c>
      <c r="I333" s="4"/>
      <c r="J333" s="22">
        <v>0.4375</v>
      </c>
      <c r="K333" s="22">
        <v>5.9722222222222225E-2</v>
      </c>
      <c r="L333" s="4"/>
      <c r="M333" s="4"/>
      <c r="N333" t="s">
        <v>1207</v>
      </c>
      <c r="O333" s="4"/>
      <c r="P333" t="s">
        <v>260</v>
      </c>
      <c r="Q333">
        <v>22</v>
      </c>
    </row>
    <row r="334" spans="1:17" ht="14.25" customHeight="1" x14ac:dyDescent="0.25">
      <c r="A334" s="4"/>
      <c r="B334" s="21">
        <v>44206</v>
      </c>
      <c r="C334" s="5">
        <f t="shared" si="10"/>
        <v>3</v>
      </c>
      <c r="D334" s="5">
        <f t="shared" si="11"/>
        <v>1</v>
      </c>
      <c r="E334" s="1" t="s">
        <v>6</v>
      </c>
      <c r="F334" s="1" t="s">
        <v>13</v>
      </c>
      <c r="G334">
        <v>47441</v>
      </c>
      <c r="H334">
        <v>100341</v>
      </c>
      <c r="I334" s="4"/>
      <c r="J334" s="22">
        <v>0.2673611111111111</v>
      </c>
      <c r="K334" s="22">
        <v>0.32430555555555557</v>
      </c>
      <c r="L334" s="4"/>
      <c r="M334" s="4"/>
      <c r="N334" t="s">
        <v>1208</v>
      </c>
      <c r="O334" s="4"/>
      <c r="P334" t="s">
        <v>360</v>
      </c>
      <c r="Q334">
        <v>30</v>
      </c>
    </row>
    <row r="335" spans="1:17" ht="14.25" customHeight="1" x14ac:dyDescent="0.25">
      <c r="A335" s="4"/>
      <c r="B335" s="21">
        <v>44206</v>
      </c>
      <c r="C335" s="5">
        <f t="shared" si="10"/>
        <v>3</v>
      </c>
      <c r="D335" s="5">
        <f t="shared" si="11"/>
        <v>1</v>
      </c>
      <c r="E335" s="1" t="s">
        <v>6</v>
      </c>
      <c r="F335" s="1" t="s">
        <v>12</v>
      </c>
      <c r="G335">
        <v>47442</v>
      </c>
      <c r="H335">
        <v>100343</v>
      </c>
      <c r="I335" s="4"/>
      <c r="J335" s="22">
        <v>0.3756944444444445</v>
      </c>
      <c r="K335" s="22">
        <v>0.31527777777777777</v>
      </c>
      <c r="L335" s="4"/>
      <c r="M335" s="4"/>
      <c r="N335" t="s">
        <v>1209</v>
      </c>
      <c r="O335" s="4"/>
      <c r="P335" t="s">
        <v>46</v>
      </c>
      <c r="Q335">
        <v>12</v>
      </c>
    </row>
    <row r="336" spans="1:17" ht="14.25" customHeight="1" x14ac:dyDescent="0.25">
      <c r="A336" s="4"/>
      <c r="B336" s="21">
        <v>44206</v>
      </c>
      <c r="C336" s="5">
        <f t="shared" si="10"/>
        <v>3</v>
      </c>
      <c r="D336" s="5">
        <f t="shared" si="11"/>
        <v>1</v>
      </c>
      <c r="E336" s="1" t="s">
        <v>6</v>
      </c>
      <c r="F336" s="1" t="s">
        <v>13</v>
      </c>
      <c r="G336">
        <v>47442</v>
      </c>
      <c r="H336">
        <v>100343</v>
      </c>
      <c r="I336" s="4"/>
      <c r="J336" s="22">
        <v>0.27847222222222223</v>
      </c>
      <c r="K336" s="22">
        <v>0.9784722222222223</v>
      </c>
      <c r="L336" s="4"/>
      <c r="M336" s="4"/>
      <c r="N336" t="s">
        <v>1210</v>
      </c>
      <c r="O336" s="4"/>
      <c r="P336" t="s">
        <v>361</v>
      </c>
      <c r="Q336">
        <v>7</v>
      </c>
    </row>
    <row r="337" spans="1:17" ht="14.25" customHeight="1" x14ac:dyDescent="0.25">
      <c r="A337" s="4"/>
      <c r="B337" s="21">
        <v>44207</v>
      </c>
      <c r="C337" s="5">
        <f t="shared" si="10"/>
        <v>3</v>
      </c>
      <c r="D337" s="5">
        <f t="shared" si="11"/>
        <v>2</v>
      </c>
      <c r="E337" s="1" t="s">
        <v>7</v>
      </c>
      <c r="F337" s="1" t="s">
        <v>14</v>
      </c>
      <c r="G337">
        <v>47442</v>
      </c>
      <c r="H337">
        <v>100344</v>
      </c>
      <c r="I337" s="4"/>
      <c r="J337" s="22">
        <v>0.35833333333333334</v>
      </c>
      <c r="K337" s="22">
        <v>0.65138888888888891</v>
      </c>
      <c r="L337" s="4"/>
      <c r="M337" s="4"/>
      <c r="N337" t="s">
        <v>1211</v>
      </c>
      <c r="O337" s="4"/>
      <c r="P337" t="s">
        <v>362</v>
      </c>
      <c r="Q337">
        <v>15</v>
      </c>
    </row>
    <row r="338" spans="1:17" ht="14.25" customHeight="1" x14ac:dyDescent="0.25">
      <c r="A338" s="4"/>
      <c r="B338" s="21">
        <v>44207</v>
      </c>
      <c r="C338" s="5">
        <f t="shared" si="10"/>
        <v>3</v>
      </c>
      <c r="D338" s="5">
        <f t="shared" si="11"/>
        <v>2</v>
      </c>
      <c r="E338" s="1" t="s">
        <v>7</v>
      </c>
      <c r="F338" s="1" t="s">
        <v>14</v>
      </c>
      <c r="G338">
        <v>47446</v>
      </c>
      <c r="H338">
        <v>100346</v>
      </c>
      <c r="I338" s="4"/>
      <c r="J338" s="22">
        <v>0.49583333333333335</v>
      </c>
      <c r="K338" s="22">
        <v>0.74236111111111114</v>
      </c>
      <c r="L338" s="4"/>
      <c r="M338" s="4"/>
      <c r="N338" t="s">
        <v>1212</v>
      </c>
      <c r="O338" s="4"/>
      <c r="P338" t="s">
        <v>363</v>
      </c>
      <c r="Q338">
        <v>5</v>
      </c>
    </row>
    <row r="339" spans="1:17" ht="14.25" customHeight="1" x14ac:dyDescent="0.25">
      <c r="A339" s="4"/>
      <c r="B339" s="21">
        <v>44207</v>
      </c>
      <c r="C339" s="5">
        <f t="shared" si="10"/>
        <v>3</v>
      </c>
      <c r="D339" s="5">
        <f t="shared" si="11"/>
        <v>2</v>
      </c>
      <c r="E339" s="1" t="s">
        <v>6</v>
      </c>
      <c r="F339" s="1" t="s">
        <v>11</v>
      </c>
      <c r="G339">
        <v>47449</v>
      </c>
      <c r="H339">
        <v>100347</v>
      </c>
      <c r="I339" s="4"/>
      <c r="J339" s="22">
        <v>0.32777777777777778</v>
      </c>
      <c r="K339" s="22">
        <v>0.58888888888888891</v>
      </c>
      <c r="L339" s="4"/>
      <c r="M339" s="4"/>
      <c r="N339" t="s">
        <v>1213</v>
      </c>
      <c r="O339" s="4"/>
      <c r="P339" t="s">
        <v>364</v>
      </c>
      <c r="Q339">
        <v>27</v>
      </c>
    </row>
    <row r="340" spans="1:17" ht="14.25" customHeight="1" x14ac:dyDescent="0.25">
      <c r="A340" s="4"/>
      <c r="B340" s="21">
        <v>44207</v>
      </c>
      <c r="C340" s="5">
        <f t="shared" si="10"/>
        <v>3</v>
      </c>
      <c r="D340" s="5">
        <f t="shared" si="11"/>
        <v>2</v>
      </c>
      <c r="E340" s="1" t="s">
        <v>7</v>
      </c>
      <c r="F340" s="1" t="s">
        <v>15</v>
      </c>
      <c r="G340">
        <v>47449</v>
      </c>
      <c r="H340">
        <v>100347</v>
      </c>
      <c r="I340" s="4"/>
      <c r="J340" s="22">
        <v>0.46388888888888885</v>
      </c>
      <c r="K340" s="22">
        <v>0.61319444444444449</v>
      </c>
      <c r="L340" s="4"/>
      <c r="M340" s="4"/>
      <c r="N340" t="s">
        <v>1214</v>
      </c>
      <c r="O340" s="4"/>
      <c r="P340" t="s">
        <v>365</v>
      </c>
      <c r="Q340">
        <v>29</v>
      </c>
    </row>
    <row r="341" spans="1:17" ht="14.25" customHeight="1" x14ac:dyDescent="0.25">
      <c r="A341" s="4"/>
      <c r="B341" s="21">
        <v>44207</v>
      </c>
      <c r="C341" s="5">
        <f t="shared" si="10"/>
        <v>3</v>
      </c>
      <c r="D341" s="5">
        <f t="shared" si="11"/>
        <v>2</v>
      </c>
      <c r="E341" s="1" t="s">
        <v>5</v>
      </c>
      <c r="F341" s="1" t="s">
        <v>18</v>
      </c>
      <c r="G341">
        <v>47452</v>
      </c>
      <c r="H341">
        <v>100347</v>
      </c>
      <c r="I341" s="4"/>
      <c r="J341" s="22">
        <v>0.30555555555555552</v>
      </c>
      <c r="K341" s="22">
        <v>0.88402777777777775</v>
      </c>
      <c r="L341" s="4"/>
      <c r="M341" s="4"/>
      <c r="N341" t="s">
        <v>1215</v>
      </c>
      <c r="O341" s="4"/>
      <c r="P341" t="s">
        <v>366</v>
      </c>
      <c r="Q341">
        <v>15</v>
      </c>
    </row>
    <row r="342" spans="1:17" ht="14.25" customHeight="1" x14ac:dyDescent="0.25">
      <c r="A342" s="4"/>
      <c r="B342" s="21">
        <v>44207</v>
      </c>
      <c r="C342" s="5">
        <f t="shared" si="10"/>
        <v>3</v>
      </c>
      <c r="D342" s="5">
        <f t="shared" si="11"/>
        <v>2</v>
      </c>
      <c r="E342" s="1" t="s">
        <v>7</v>
      </c>
      <c r="F342" s="1" t="s">
        <v>15</v>
      </c>
      <c r="G342">
        <v>47454</v>
      </c>
      <c r="H342">
        <v>100348</v>
      </c>
      <c r="I342" s="4"/>
      <c r="J342" s="22">
        <v>0.28333333333333333</v>
      </c>
      <c r="K342" s="22">
        <v>0.40069444444444446</v>
      </c>
      <c r="L342" s="4"/>
      <c r="M342" s="4"/>
      <c r="N342" t="s">
        <v>1216</v>
      </c>
      <c r="O342" s="4"/>
      <c r="P342" t="s">
        <v>367</v>
      </c>
      <c r="Q342">
        <v>7</v>
      </c>
    </row>
    <row r="343" spans="1:17" ht="14.25" customHeight="1" x14ac:dyDescent="0.25">
      <c r="A343" s="4"/>
      <c r="B343" s="21">
        <v>44207</v>
      </c>
      <c r="C343" s="5">
        <f t="shared" si="10"/>
        <v>3</v>
      </c>
      <c r="D343" s="5">
        <f t="shared" si="11"/>
        <v>2</v>
      </c>
      <c r="E343" s="1" t="s">
        <v>7</v>
      </c>
      <c r="F343" s="1" t="s">
        <v>14</v>
      </c>
      <c r="G343">
        <v>47455</v>
      </c>
      <c r="H343">
        <v>100349</v>
      </c>
      <c r="I343" s="4"/>
      <c r="J343" s="22">
        <v>0.31041666666666667</v>
      </c>
      <c r="K343" s="22">
        <v>0.15902777777777777</v>
      </c>
      <c r="L343" s="4"/>
      <c r="M343" s="4"/>
      <c r="N343" t="s">
        <v>1217</v>
      </c>
      <c r="O343" s="4"/>
      <c r="P343" t="s">
        <v>368</v>
      </c>
      <c r="Q343">
        <v>2</v>
      </c>
    </row>
    <row r="344" spans="1:17" ht="14.25" customHeight="1" x14ac:dyDescent="0.25">
      <c r="A344" s="4"/>
      <c r="B344" s="21">
        <v>44207</v>
      </c>
      <c r="C344" s="5">
        <f t="shared" si="10"/>
        <v>3</v>
      </c>
      <c r="D344" s="5">
        <f t="shared" si="11"/>
        <v>2</v>
      </c>
      <c r="E344" s="1" t="s">
        <v>6</v>
      </c>
      <c r="F344" s="1" t="s">
        <v>11</v>
      </c>
      <c r="G344">
        <v>47455</v>
      </c>
      <c r="H344">
        <v>100349</v>
      </c>
      <c r="I344" s="4"/>
      <c r="J344" s="22">
        <v>0.42152777777777778</v>
      </c>
      <c r="K344" s="22">
        <v>0.5541666666666667</v>
      </c>
      <c r="L344" s="4"/>
      <c r="M344" s="4"/>
      <c r="N344" t="s">
        <v>1218</v>
      </c>
      <c r="O344" s="4"/>
      <c r="P344" t="s">
        <v>369</v>
      </c>
      <c r="Q344">
        <v>3</v>
      </c>
    </row>
    <row r="345" spans="1:17" ht="14.25" customHeight="1" x14ac:dyDescent="0.25">
      <c r="A345" s="4"/>
      <c r="B345" s="21">
        <v>44207</v>
      </c>
      <c r="C345" s="5">
        <f t="shared" si="10"/>
        <v>3</v>
      </c>
      <c r="D345" s="5">
        <f t="shared" si="11"/>
        <v>2</v>
      </c>
      <c r="E345" s="1" t="s">
        <v>5</v>
      </c>
      <c r="F345" s="1" t="s">
        <v>18</v>
      </c>
      <c r="G345">
        <v>47455</v>
      </c>
      <c r="H345">
        <v>100350</v>
      </c>
      <c r="I345" s="4"/>
      <c r="J345" s="22">
        <v>0.41041666666666665</v>
      </c>
      <c r="K345" s="22">
        <v>0.80902777777777779</v>
      </c>
      <c r="L345" s="4"/>
      <c r="M345" s="4"/>
      <c r="N345" t="s">
        <v>1219</v>
      </c>
      <c r="O345" s="4"/>
      <c r="P345" t="s">
        <v>370</v>
      </c>
      <c r="Q345">
        <v>21</v>
      </c>
    </row>
    <row r="346" spans="1:17" ht="14.25" customHeight="1" x14ac:dyDescent="0.25">
      <c r="A346" s="4"/>
      <c r="B346" s="21">
        <v>44207</v>
      </c>
      <c r="C346" s="5">
        <f t="shared" si="10"/>
        <v>3</v>
      </c>
      <c r="D346" s="5">
        <f t="shared" si="11"/>
        <v>2</v>
      </c>
      <c r="E346" s="1" t="s">
        <v>5</v>
      </c>
      <c r="F346" s="1" t="s">
        <v>17</v>
      </c>
      <c r="G346">
        <v>47456</v>
      </c>
      <c r="H346">
        <v>100350</v>
      </c>
      <c r="I346" s="4"/>
      <c r="J346" s="22">
        <v>0.4236111111111111</v>
      </c>
      <c r="K346" s="22">
        <v>9.930555555555555E-2</v>
      </c>
      <c r="L346" s="4"/>
      <c r="M346" s="4"/>
      <c r="N346" t="s">
        <v>1220</v>
      </c>
      <c r="O346" s="4"/>
      <c r="P346" t="s">
        <v>371</v>
      </c>
      <c r="Q346">
        <v>32</v>
      </c>
    </row>
    <row r="347" spans="1:17" ht="14.25" customHeight="1" x14ac:dyDescent="0.25">
      <c r="A347" s="4"/>
      <c r="B347" s="21">
        <v>44207</v>
      </c>
      <c r="C347" s="5">
        <f t="shared" si="10"/>
        <v>3</v>
      </c>
      <c r="D347" s="5">
        <f t="shared" si="11"/>
        <v>2</v>
      </c>
      <c r="E347" s="1" t="s">
        <v>5</v>
      </c>
      <c r="F347" s="1" t="s">
        <v>17</v>
      </c>
      <c r="G347">
        <v>47459</v>
      </c>
      <c r="H347">
        <v>100351</v>
      </c>
      <c r="I347" s="4"/>
      <c r="J347" s="22">
        <v>0.26666666666666666</v>
      </c>
      <c r="K347" s="22">
        <v>0.87222222222222223</v>
      </c>
      <c r="L347" s="4"/>
      <c r="M347" s="4"/>
      <c r="N347" t="s">
        <v>1221</v>
      </c>
      <c r="O347" s="4"/>
      <c r="P347" t="s">
        <v>372</v>
      </c>
      <c r="Q347">
        <v>25</v>
      </c>
    </row>
    <row r="348" spans="1:17" ht="14.25" customHeight="1" x14ac:dyDescent="0.25">
      <c r="A348" s="4"/>
      <c r="B348" s="21">
        <v>44207</v>
      </c>
      <c r="C348" s="5">
        <f t="shared" si="10"/>
        <v>3</v>
      </c>
      <c r="D348" s="5">
        <f t="shared" si="11"/>
        <v>2</v>
      </c>
      <c r="E348" s="1" t="s">
        <v>5</v>
      </c>
      <c r="F348" s="1" t="s">
        <v>17</v>
      </c>
      <c r="G348">
        <v>47460</v>
      </c>
      <c r="H348">
        <v>100351</v>
      </c>
      <c r="I348" s="4"/>
      <c r="J348" s="22">
        <v>0.27847222222222223</v>
      </c>
      <c r="K348" s="22">
        <v>0.21666666666666667</v>
      </c>
      <c r="L348" s="4"/>
      <c r="M348" s="4"/>
      <c r="N348" t="s">
        <v>1222</v>
      </c>
      <c r="O348" s="4"/>
      <c r="P348" t="s">
        <v>373</v>
      </c>
      <c r="Q348">
        <v>9</v>
      </c>
    </row>
    <row r="349" spans="1:17" ht="14.25" customHeight="1" x14ac:dyDescent="0.25">
      <c r="A349" s="4"/>
      <c r="B349" s="21">
        <v>44207</v>
      </c>
      <c r="C349" s="5">
        <f t="shared" si="10"/>
        <v>3</v>
      </c>
      <c r="D349" s="5">
        <f t="shared" si="11"/>
        <v>2</v>
      </c>
      <c r="E349" s="1" t="s">
        <v>6</v>
      </c>
      <c r="F349" s="1" t="s">
        <v>12</v>
      </c>
      <c r="G349">
        <v>47465</v>
      </c>
      <c r="H349">
        <v>100352</v>
      </c>
      <c r="I349" s="4"/>
      <c r="J349" s="22">
        <v>0.29930555555555555</v>
      </c>
      <c r="K349" s="22">
        <v>0.57986111111111105</v>
      </c>
      <c r="L349" s="4"/>
      <c r="M349" s="4"/>
      <c r="N349" t="s">
        <v>1223</v>
      </c>
      <c r="O349" s="4"/>
      <c r="P349" t="s">
        <v>374</v>
      </c>
      <c r="Q349">
        <v>9</v>
      </c>
    </row>
    <row r="350" spans="1:17" ht="14.25" customHeight="1" x14ac:dyDescent="0.25">
      <c r="A350" s="4"/>
      <c r="B350" s="21">
        <v>44207</v>
      </c>
      <c r="C350" s="5">
        <f t="shared" si="10"/>
        <v>3</v>
      </c>
      <c r="D350" s="5">
        <f t="shared" si="11"/>
        <v>2</v>
      </c>
      <c r="E350" s="1" t="s">
        <v>7</v>
      </c>
      <c r="F350" s="1" t="s">
        <v>15</v>
      </c>
      <c r="G350">
        <v>47465</v>
      </c>
      <c r="H350">
        <v>100353</v>
      </c>
      <c r="I350" s="4"/>
      <c r="J350" s="22">
        <v>0.2722222222222222</v>
      </c>
      <c r="K350" s="22">
        <v>0.70763888888888893</v>
      </c>
      <c r="L350" s="4"/>
      <c r="M350" s="4"/>
      <c r="N350" t="s">
        <v>1224</v>
      </c>
      <c r="O350" s="4"/>
      <c r="P350" t="s">
        <v>375</v>
      </c>
      <c r="Q350">
        <v>8</v>
      </c>
    </row>
    <row r="351" spans="1:17" ht="14.25" customHeight="1" x14ac:dyDescent="0.25">
      <c r="A351" s="4"/>
      <c r="B351" s="21">
        <v>44207</v>
      </c>
      <c r="C351" s="5">
        <f t="shared" si="10"/>
        <v>3</v>
      </c>
      <c r="D351" s="5">
        <f t="shared" si="11"/>
        <v>2</v>
      </c>
      <c r="E351" s="1" t="s">
        <v>6</v>
      </c>
      <c r="F351" s="1" t="s">
        <v>11</v>
      </c>
      <c r="G351">
        <v>47465</v>
      </c>
      <c r="H351">
        <v>100354</v>
      </c>
      <c r="I351" s="4"/>
      <c r="J351" s="22">
        <v>0.26874999999999999</v>
      </c>
      <c r="K351" s="22">
        <v>0.24166666666666667</v>
      </c>
      <c r="L351" s="4"/>
      <c r="M351" s="4"/>
      <c r="N351" t="s">
        <v>1225</v>
      </c>
      <c r="O351" s="4"/>
      <c r="P351" t="s">
        <v>309</v>
      </c>
      <c r="Q351">
        <v>19</v>
      </c>
    </row>
    <row r="352" spans="1:17" ht="14.25" customHeight="1" x14ac:dyDescent="0.25">
      <c r="A352" s="4"/>
      <c r="B352" s="21">
        <v>44207</v>
      </c>
      <c r="C352" s="5">
        <f t="shared" si="10"/>
        <v>3</v>
      </c>
      <c r="D352" s="5">
        <f t="shared" si="11"/>
        <v>2</v>
      </c>
      <c r="E352" s="1" t="s">
        <v>5</v>
      </c>
      <c r="F352" s="1" t="s">
        <v>17</v>
      </c>
      <c r="G352">
        <v>47467</v>
      </c>
      <c r="H352">
        <v>100355</v>
      </c>
      <c r="I352" s="4"/>
      <c r="J352" s="22">
        <v>0.42430555555555555</v>
      </c>
      <c r="K352" s="22">
        <v>0.36944444444444446</v>
      </c>
      <c r="L352" s="4"/>
      <c r="M352" s="4"/>
      <c r="N352" t="s">
        <v>1226</v>
      </c>
      <c r="O352" s="4"/>
      <c r="P352" t="s">
        <v>376</v>
      </c>
      <c r="Q352">
        <v>31</v>
      </c>
    </row>
    <row r="353" spans="1:17" ht="14.25" customHeight="1" x14ac:dyDescent="0.25">
      <c r="A353" s="4"/>
      <c r="B353" s="21">
        <v>44207</v>
      </c>
      <c r="C353" s="5">
        <f t="shared" si="10"/>
        <v>3</v>
      </c>
      <c r="D353" s="5">
        <f t="shared" si="11"/>
        <v>2</v>
      </c>
      <c r="E353" s="1" t="s">
        <v>6</v>
      </c>
      <c r="F353" s="1" t="s">
        <v>12</v>
      </c>
      <c r="G353">
        <v>47468</v>
      </c>
      <c r="H353">
        <v>100355</v>
      </c>
      <c r="I353" s="4"/>
      <c r="J353" s="22">
        <v>0.27361111111111108</v>
      </c>
      <c r="K353" s="22">
        <v>0.90833333333333333</v>
      </c>
      <c r="L353" s="4"/>
      <c r="M353" s="4"/>
      <c r="N353" t="s">
        <v>1227</v>
      </c>
      <c r="O353" s="4"/>
      <c r="P353" t="s">
        <v>377</v>
      </c>
      <c r="Q353">
        <v>2</v>
      </c>
    </row>
    <row r="354" spans="1:17" ht="14.25" customHeight="1" x14ac:dyDescent="0.25">
      <c r="A354" s="4"/>
      <c r="B354" s="21">
        <v>44207</v>
      </c>
      <c r="C354" s="5">
        <f t="shared" si="10"/>
        <v>3</v>
      </c>
      <c r="D354" s="5">
        <f t="shared" si="11"/>
        <v>2</v>
      </c>
      <c r="E354" s="1" t="s">
        <v>6</v>
      </c>
      <c r="F354" s="1" t="s">
        <v>12</v>
      </c>
      <c r="G354">
        <v>47469</v>
      </c>
      <c r="H354">
        <v>100356</v>
      </c>
      <c r="I354" s="4"/>
      <c r="J354" s="22">
        <v>0.45555555555555555</v>
      </c>
      <c r="K354" s="22">
        <v>0.33194444444444443</v>
      </c>
      <c r="L354" s="4"/>
      <c r="M354" s="4"/>
      <c r="N354" t="s">
        <v>1228</v>
      </c>
      <c r="O354" s="4"/>
      <c r="P354" t="s">
        <v>378</v>
      </c>
      <c r="Q354">
        <v>27</v>
      </c>
    </row>
    <row r="355" spans="1:17" ht="14.25" customHeight="1" x14ac:dyDescent="0.25">
      <c r="A355" s="4"/>
      <c r="B355" s="21">
        <v>44207</v>
      </c>
      <c r="C355" s="5">
        <f t="shared" si="10"/>
        <v>3</v>
      </c>
      <c r="D355" s="5">
        <f t="shared" si="11"/>
        <v>2</v>
      </c>
      <c r="E355" s="1" t="s">
        <v>7</v>
      </c>
      <c r="F355" s="1" t="s">
        <v>16</v>
      </c>
      <c r="G355">
        <v>47469</v>
      </c>
      <c r="H355">
        <v>100358</v>
      </c>
      <c r="I355" s="4"/>
      <c r="J355" s="22">
        <v>0.34722222222222227</v>
      </c>
      <c r="K355" s="22">
        <v>0.84027777777777779</v>
      </c>
      <c r="L355" s="4"/>
      <c r="M355" s="4"/>
      <c r="N355" t="s">
        <v>1229</v>
      </c>
      <c r="O355" s="4"/>
      <c r="P355" t="s">
        <v>379</v>
      </c>
      <c r="Q355">
        <v>6</v>
      </c>
    </row>
    <row r="356" spans="1:17" ht="14.25" customHeight="1" x14ac:dyDescent="0.25">
      <c r="A356" s="4"/>
      <c r="B356" s="21">
        <v>44207</v>
      </c>
      <c r="C356" s="5">
        <f t="shared" si="10"/>
        <v>3</v>
      </c>
      <c r="D356" s="5">
        <f t="shared" si="11"/>
        <v>2</v>
      </c>
      <c r="E356" s="1" t="s">
        <v>7</v>
      </c>
      <c r="F356" s="1" t="s">
        <v>14</v>
      </c>
      <c r="G356">
        <v>47470</v>
      </c>
      <c r="H356">
        <v>100358</v>
      </c>
      <c r="I356" s="4"/>
      <c r="J356" s="22">
        <v>0.27916666666666667</v>
      </c>
      <c r="K356" s="22">
        <v>0.78402777777777777</v>
      </c>
      <c r="L356" s="4"/>
      <c r="M356" s="4"/>
      <c r="N356" t="s">
        <v>1230</v>
      </c>
      <c r="O356" s="4"/>
      <c r="P356" t="s">
        <v>380</v>
      </c>
      <c r="Q356">
        <v>11</v>
      </c>
    </row>
    <row r="357" spans="1:17" ht="14.25" customHeight="1" x14ac:dyDescent="0.25">
      <c r="A357" s="4"/>
      <c r="B357" s="21">
        <v>44207</v>
      </c>
      <c r="C357" s="5">
        <f t="shared" si="10"/>
        <v>3</v>
      </c>
      <c r="D357" s="5">
        <f t="shared" si="11"/>
        <v>2</v>
      </c>
      <c r="E357" s="1" t="s">
        <v>6</v>
      </c>
      <c r="F357" s="1" t="s">
        <v>13</v>
      </c>
      <c r="G357">
        <v>47471</v>
      </c>
      <c r="H357">
        <v>100359</v>
      </c>
      <c r="I357" s="4"/>
      <c r="J357" s="22">
        <v>0.39305555555555555</v>
      </c>
      <c r="K357" s="22">
        <v>0.20416666666666669</v>
      </c>
      <c r="L357" s="4"/>
      <c r="M357" s="4"/>
      <c r="N357" t="s">
        <v>1231</v>
      </c>
      <c r="O357" s="4"/>
      <c r="P357" t="s">
        <v>381</v>
      </c>
      <c r="Q357">
        <v>32</v>
      </c>
    </row>
    <row r="358" spans="1:17" ht="14.25" customHeight="1" x14ac:dyDescent="0.25">
      <c r="A358" s="4"/>
      <c r="B358" s="21">
        <v>44208</v>
      </c>
      <c r="C358" s="5">
        <f t="shared" si="10"/>
        <v>3</v>
      </c>
      <c r="D358" s="5">
        <f t="shared" si="11"/>
        <v>3</v>
      </c>
      <c r="E358" s="1" t="s">
        <v>5</v>
      </c>
      <c r="F358" s="1" t="s">
        <v>17</v>
      </c>
      <c r="G358">
        <v>47474</v>
      </c>
      <c r="H358">
        <v>100360</v>
      </c>
      <c r="I358" s="4"/>
      <c r="J358" s="22">
        <v>0.42430555555555555</v>
      </c>
      <c r="K358" s="22">
        <v>0.89236111111111116</v>
      </c>
      <c r="L358" s="4"/>
      <c r="M358" s="4"/>
      <c r="N358" t="s">
        <v>1232</v>
      </c>
      <c r="O358" s="4"/>
      <c r="P358" t="s">
        <v>117</v>
      </c>
      <c r="Q358">
        <v>11</v>
      </c>
    </row>
    <row r="359" spans="1:17" ht="14.25" customHeight="1" x14ac:dyDescent="0.25">
      <c r="A359" s="4"/>
      <c r="B359" s="21">
        <v>44208</v>
      </c>
      <c r="C359" s="5">
        <f t="shared" si="10"/>
        <v>3</v>
      </c>
      <c r="D359" s="5">
        <f t="shared" si="11"/>
        <v>3</v>
      </c>
      <c r="E359" s="1" t="s">
        <v>7</v>
      </c>
      <c r="F359" s="1" t="s">
        <v>16</v>
      </c>
      <c r="G359">
        <v>47475</v>
      </c>
      <c r="H359">
        <v>100361</v>
      </c>
      <c r="I359" s="4"/>
      <c r="J359" s="22">
        <v>0.27361111111111108</v>
      </c>
      <c r="K359" s="22">
        <v>0.36319444444444443</v>
      </c>
      <c r="L359" s="4"/>
      <c r="M359" s="4"/>
      <c r="N359" t="s">
        <v>1233</v>
      </c>
      <c r="O359" s="4"/>
      <c r="P359" t="s">
        <v>382</v>
      </c>
      <c r="Q359">
        <v>5</v>
      </c>
    </row>
    <row r="360" spans="1:17" ht="14.25" customHeight="1" x14ac:dyDescent="0.25">
      <c r="A360" s="4"/>
      <c r="B360" s="21">
        <v>44208</v>
      </c>
      <c r="C360" s="5">
        <f t="shared" si="10"/>
        <v>3</v>
      </c>
      <c r="D360" s="5">
        <f t="shared" si="11"/>
        <v>3</v>
      </c>
      <c r="E360" s="1" t="s">
        <v>6</v>
      </c>
      <c r="F360" s="1" t="s">
        <v>11</v>
      </c>
      <c r="G360">
        <v>47477</v>
      </c>
      <c r="H360">
        <v>100362</v>
      </c>
      <c r="I360" s="4"/>
      <c r="J360" s="22">
        <v>0.4284722222222222</v>
      </c>
      <c r="K360" s="22">
        <v>0.9277777777777777</v>
      </c>
      <c r="L360" s="4"/>
      <c r="M360" s="4"/>
      <c r="N360" t="s">
        <v>1234</v>
      </c>
      <c r="O360" s="4"/>
      <c r="P360" t="s">
        <v>383</v>
      </c>
      <c r="Q360">
        <v>17</v>
      </c>
    </row>
    <row r="361" spans="1:17" ht="14.25" customHeight="1" x14ac:dyDescent="0.25">
      <c r="A361" s="4"/>
      <c r="B361" s="21">
        <v>44208</v>
      </c>
      <c r="C361" s="5">
        <f t="shared" si="10"/>
        <v>3</v>
      </c>
      <c r="D361" s="5">
        <f t="shared" si="11"/>
        <v>3</v>
      </c>
      <c r="E361" s="1" t="s">
        <v>6</v>
      </c>
      <c r="F361" s="1" t="s">
        <v>11</v>
      </c>
      <c r="G361">
        <v>47482</v>
      </c>
      <c r="H361">
        <v>100363</v>
      </c>
      <c r="I361" s="4"/>
      <c r="J361" s="22">
        <v>0.4375</v>
      </c>
      <c r="K361" s="22">
        <v>0.9916666666666667</v>
      </c>
      <c r="L361" s="4"/>
      <c r="M361" s="4"/>
      <c r="N361" t="s">
        <v>1235</v>
      </c>
      <c r="O361" s="4"/>
      <c r="P361" t="s">
        <v>384</v>
      </c>
      <c r="Q361">
        <v>32</v>
      </c>
    </row>
    <row r="362" spans="1:17" ht="14.25" customHeight="1" x14ac:dyDescent="0.25">
      <c r="A362" s="4"/>
      <c r="B362" s="21">
        <v>44208</v>
      </c>
      <c r="C362" s="5">
        <f t="shared" si="10"/>
        <v>3</v>
      </c>
      <c r="D362" s="5">
        <f t="shared" si="11"/>
        <v>3</v>
      </c>
      <c r="E362" s="1" t="s">
        <v>6</v>
      </c>
      <c r="F362" s="1" t="s">
        <v>11</v>
      </c>
      <c r="G362">
        <v>47484</v>
      </c>
      <c r="H362">
        <v>100366</v>
      </c>
      <c r="I362" s="4"/>
      <c r="J362" s="22">
        <v>0.30208333333333331</v>
      </c>
      <c r="K362" s="22">
        <v>0.39930555555555558</v>
      </c>
      <c r="L362" s="4"/>
      <c r="M362" s="4"/>
      <c r="N362" t="s">
        <v>1236</v>
      </c>
      <c r="O362" s="4"/>
      <c r="P362" t="s">
        <v>385</v>
      </c>
      <c r="Q362">
        <v>31</v>
      </c>
    </row>
    <row r="363" spans="1:17" ht="14.25" customHeight="1" x14ac:dyDescent="0.25">
      <c r="A363" s="4"/>
      <c r="B363" s="21">
        <v>44208</v>
      </c>
      <c r="C363" s="5">
        <f t="shared" si="10"/>
        <v>3</v>
      </c>
      <c r="D363" s="5">
        <f t="shared" si="11"/>
        <v>3</v>
      </c>
      <c r="E363" s="1" t="s">
        <v>7</v>
      </c>
      <c r="F363" s="1" t="s">
        <v>14</v>
      </c>
      <c r="G363">
        <v>47485</v>
      </c>
      <c r="H363">
        <v>100366</v>
      </c>
      <c r="I363" s="4"/>
      <c r="J363" s="22">
        <v>0.27083333333333331</v>
      </c>
      <c r="K363" s="22">
        <v>0.23194444444444443</v>
      </c>
      <c r="L363" s="4"/>
      <c r="M363" s="4"/>
      <c r="N363" t="s">
        <v>1237</v>
      </c>
      <c r="O363" s="4"/>
      <c r="P363" t="s">
        <v>386</v>
      </c>
      <c r="Q363">
        <v>20</v>
      </c>
    </row>
    <row r="364" spans="1:17" ht="14.25" customHeight="1" x14ac:dyDescent="0.25">
      <c r="A364" s="4"/>
      <c r="B364" s="21">
        <v>44208</v>
      </c>
      <c r="C364" s="5">
        <f t="shared" si="10"/>
        <v>3</v>
      </c>
      <c r="D364" s="5">
        <f t="shared" si="11"/>
        <v>3</v>
      </c>
      <c r="E364" s="1" t="s">
        <v>7</v>
      </c>
      <c r="F364" s="1" t="s">
        <v>15</v>
      </c>
      <c r="G364">
        <v>47485</v>
      </c>
      <c r="H364">
        <v>100368</v>
      </c>
      <c r="I364" s="4"/>
      <c r="J364" s="22">
        <v>0.29652777777777778</v>
      </c>
      <c r="K364" s="22">
        <v>0.81944444444444453</v>
      </c>
      <c r="L364" s="4"/>
      <c r="M364" s="4"/>
      <c r="N364" t="s">
        <v>1238</v>
      </c>
      <c r="O364" s="4"/>
      <c r="P364" t="s">
        <v>387</v>
      </c>
      <c r="Q364">
        <v>1</v>
      </c>
    </row>
    <row r="365" spans="1:17" ht="14.25" customHeight="1" x14ac:dyDescent="0.25">
      <c r="A365" s="4"/>
      <c r="B365" s="21">
        <v>44208</v>
      </c>
      <c r="C365" s="5">
        <f t="shared" si="10"/>
        <v>3</v>
      </c>
      <c r="D365" s="5">
        <f t="shared" si="11"/>
        <v>3</v>
      </c>
      <c r="E365" s="1" t="s">
        <v>6</v>
      </c>
      <c r="F365" s="1" t="s">
        <v>12</v>
      </c>
      <c r="G365">
        <v>47486</v>
      </c>
      <c r="H365">
        <v>100370</v>
      </c>
      <c r="I365" s="4"/>
      <c r="J365" s="22">
        <v>0.37847222222222227</v>
      </c>
      <c r="K365" s="22">
        <v>0.2076388888888889</v>
      </c>
      <c r="L365" s="4"/>
      <c r="M365" s="4"/>
      <c r="N365" t="s">
        <v>1239</v>
      </c>
      <c r="O365" s="4"/>
      <c r="P365" t="s">
        <v>388</v>
      </c>
      <c r="Q365">
        <v>6</v>
      </c>
    </row>
    <row r="366" spans="1:17" ht="14.25" customHeight="1" x14ac:dyDescent="0.25">
      <c r="A366" s="4"/>
      <c r="B366" s="21">
        <v>44208</v>
      </c>
      <c r="C366" s="5">
        <f t="shared" si="10"/>
        <v>3</v>
      </c>
      <c r="D366" s="5">
        <f t="shared" si="11"/>
        <v>3</v>
      </c>
      <c r="E366" s="1" t="s">
        <v>6</v>
      </c>
      <c r="F366" s="1" t="s">
        <v>13</v>
      </c>
      <c r="G366">
        <v>47486</v>
      </c>
      <c r="H366">
        <v>100370</v>
      </c>
      <c r="I366" s="4"/>
      <c r="J366" s="22">
        <v>0.29305555555555557</v>
      </c>
      <c r="K366" s="22">
        <v>0.70416666666666661</v>
      </c>
      <c r="L366" s="4"/>
      <c r="M366" s="4"/>
      <c r="N366" t="s">
        <v>1240</v>
      </c>
      <c r="O366" s="4"/>
      <c r="P366" t="s">
        <v>389</v>
      </c>
      <c r="Q366">
        <v>30</v>
      </c>
    </row>
    <row r="367" spans="1:17" ht="14.25" customHeight="1" x14ac:dyDescent="0.25">
      <c r="A367" s="4"/>
      <c r="B367" s="21">
        <v>44208</v>
      </c>
      <c r="C367" s="5">
        <f t="shared" si="10"/>
        <v>3</v>
      </c>
      <c r="D367" s="5">
        <f t="shared" si="11"/>
        <v>3</v>
      </c>
      <c r="E367" s="1" t="s">
        <v>6</v>
      </c>
      <c r="F367" s="1" t="s">
        <v>11</v>
      </c>
      <c r="G367">
        <v>47486</v>
      </c>
      <c r="H367">
        <v>100376</v>
      </c>
      <c r="I367" s="4"/>
      <c r="J367" s="22">
        <v>0.34375</v>
      </c>
      <c r="K367" s="22">
        <v>0.4069444444444445</v>
      </c>
      <c r="L367" s="4"/>
      <c r="M367" s="4"/>
      <c r="N367" t="s">
        <v>1241</v>
      </c>
      <c r="O367" s="4"/>
      <c r="P367" t="s">
        <v>156</v>
      </c>
      <c r="Q367">
        <v>10</v>
      </c>
    </row>
    <row r="368" spans="1:17" ht="14.25" customHeight="1" x14ac:dyDescent="0.25">
      <c r="A368" s="4"/>
      <c r="B368" s="21">
        <v>44208</v>
      </c>
      <c r="C368" s="5">
        <f t="shared" si="10"/>
        <v>3</v>
      </c>
      <c r="D368" s="5">
        <f t="shared" si="11"/>
        <v>3</v>
      </c>
      <c r="E368" s="1" t="s">
        <v>7</v>
      </c>
      <c r="F368" s="1" t="s">
        <v>15</v>
      </c>
      <c r="G368">
        <v>47487</v>
      </c>
      <c r="H368">
        <v>100376</v>
      </c>
      <c r="I368" s="4"/>
      <c r="J368" s="22">
        <v>0.36736111111111108</v>
      </c>
      <c r="K368" s="22">
        <v>0.47847222222222219</v>
      </c>
      <c r="L368" s="4"/>
      <c r="M368" s="4"/>
      <c r="N368" t="s">
        <v>1242</v>
      </c>
      <c r="O368" s="4"/>
      <c r="P368" t="s">
        <v>390</v>
      </c>
      <c r="Q368">
        <v>2</v>
      </c>
    </row>
    <row r="369" spans="1:17" ht="14.25" customHeight="1" x14ac:dyDescent="0.25">
      <c r="A369" s="4"/>
      <c r="B369" s="21">
        <v>44208</v>
      </c>
      <c r="C369" s="5">
        <f t="shared" si="10"/>
        <v>3</v>
      </c>
      <c r="D369" s="5">
        <f t="shared" si="11"/>
        <v>3</v>
      </c>
      <c r="E369" s="1" t="s">
        <v>5</v>
      </c>
      <c r="F369" s="1" t="s">
        <v>17</v>
      </c>
      <c r="G369">
        <v>47487</v>
      </c>
      <c r="H369">
        <v>100376</v>
      </c>
      <c r="I369" s="4"/>
      <c r="J369" s="22">
        <v>0.41805555555555557</v>
      </c>
      <c r="K369" s="22">
        <v>0.45</v>
      </c>
      <c r="L369" s="4"/>
      <c r="M369" s="4"/>
      <c r="N369" t="s">
        <v>1243</v>
      </c>
      <c r="O369" s="4"/>
      <c r="P369" t="s">
        <v>391</v>
      </c>
      <c r="Q369">
        <v>24</v>
      </c>
    </row>
    <row r="370" spans="1:17" ht="14.25" customHeight="1" x14ac:dyDescent="0.25">
      <c r="A370" s="4"/>
      <c r="B370" s="21">
        <v>44208</v>
      </c>
      <c r="C370" s="5">
        <f t="shared" si="10"/>
        <v>3</v>
      </c>
      <c r="D370" s="5">
        <f t="shared" si="11"/>
        <v>3</v>
      </c>
      <c r="E370" s="1" t="s">
        <v>7</v>
      </c>
      <c r="F370" s="1" t="s">
        <v>16</v>
      </c>
      <c r="G370">
        <v>47487</v>
      </c>
      <c r="H370">
        <v>100376</v>
      </c>
      <c r="I370" s="4"/>
      <c r="J370" s="22">
        <v>0.39097222222222222</v>
      </c>
      <c r="K370" s="22">
        <v>0.8125</v>
      </c>
      <c r="L370" s="4"/>
      <c r="M370" s="4"/>
      <c r="N370" t="s">
        <v>1244</v>
      </c>
      <c r="O370" s="4"/>
      <c r="P370" t="s">
        <v>392</v>
      </c>
      <c r="Q370">
        <v>20</v>
      </c>
    </row>
    <row r="371" spans="1:17" ht="14.25" customHeight="1" x14ac:dyDescent="0.25">
      <c r="A371" s="4"/>
      <c r="B371" s="21">
        <v>44208</v>
      </c>
      <c r="C371" s="5">
        <f t="shared" si="10"/>
        <v>3</v>
      </c>
      <c r="D371" s="5">
        <f t="shared" si="11"/>
        <v>3</v>
      </c>
      <c r="E371" s="1" t="s">
        <v>7</v>
      </c>
      <c r="F371" s="1" t="s">
        <v>16</v>
      </c>
      <c r="G371">
        <v>47487</v>
      </c>
      <c r="H371">
        <v>100377</v>
      </c>
      <c r="I371" s="4"/>
      <c r="J371" s="22">
        <v>0.37986111111111115</v>
      </c>
      <c r="K371" s="22">
        <v>0.9555555555555556</v>
      </c>
      <c r="L371" s="4"/>
      <c r="M371" s="4"/>
      <c r="N371" t="s">
        <v>1245</v>
      </c>
      <c r="O371" s="4"/>
      <c r="P371" t="s">
        <v>393</v>
      </c>
      <c r="Q371">
        <v>31</v>
      </c>
    </row>
    <row r="372" spans="1:17" ht="14.25" customHeight="1" x14ac:dyDescent="0.25">
      <c r="A372" s="4"/>
      <c r="B372" s="21">
        <v>44208</v>
      </c>
      <c r="C372" s="5">
        <f t="shared" si="10"/>
        <v>3</v>
      </c>
      <c r="D372" s="5">
        <f t="shared" si="11"/>
        <v>3</v>
      </c>
      <c r="E372" s="1" t="s">
        <v>5</v>
      </c>
      <c r="F372" s="1" t="s">
        <v>18</v>
      </c>
      <c r="G372">
        <v>47488</v>
      </c>
      <c r="H372">
        <v>100378</v>
      </c>
      <c r="I372" s="4"/>
      <c r="J372" s="22">
        <v>0.4826388888888889</v>
      </c>
      <c r="K372" s="22">
        <v>0.49027777777777781</v>
      </c>
      <c r="L372" s="4"/>
      <c r="M372" s="4"/>
      <c r="N372" t="s">
        <v>1246</v>
      </c>
      <c r="O372" s="4"/>
      <c r="P372" t="s">
        <v>394</v>
      </c>
      <c r="Q372">
        <v>21</v>
      </c>
    </row>
    <row r="373" spans="1:17" ht="14.25" customHeight="1" x14ac:dyDescent="0.25">
      <c r="A373" s="4"/>
      <c r="B373" s="21">
        <v>44208</v>
      </c>
      <c r="C373" s="5">
        <f t="shared" si="10"/>
        <v>3</v>
      </c>
      <c r="D373" s="5">
        <f t="shared" si="11"/>
        <v>3</v>
      </c>
      <c r="E373" s="1" t="s">
        <v>7</v>
      </c>
      <c r="F373" s="1" t="s">
        <v>15</v>
      </c>
      <c r="G373">
        <v>47490</v>
      </c>
      <c r="H373">
        <v>100379</v>
      </c>
      <c r="I373" s="4"/>
      <c r="J373" s="22">
        <v>0.34513888888888888</v>
      </c>
      <c r="K373" s="22">
        <v>0.96736111111111101</v>
      </c>
      <c r="L373" s="4"/>
      <c r="M373" s="4"/>
      <c r="N373" t="s">
        <v>1247</v>
      </c>
      <c r="O373" s="4"/>
      <c r="P373" t="s">
        <v>143</v>
      </c>
      <c r="Q373">
        <v>31</v>
      </c>
    </row>
    <row r="374" spans="1:17" ht="14.25" customHeight="1" x14ac:dyDescent="0.25">
      <c r="A374" s="4"/>
      <c r="B374" s="21">
        <v>44208</v>
      </c>
      <c r="C374" s="5">
        <f t="shared" si="10"/>
        <v>3</v>
      </c>
      <c r="D374" s="5">
        <f t="shared" si="11"/>
        <v>3</v>
      </c>
      <c r="E374" s="1" t="s">
        <v>5</v>
      </c>
      <c r="F374" s="1" t="s">
        <v>19</v>
      </c>
      <c r="G374">
        <v>47492</v>
      </c>
      <c r="H374">
        <v>100382</v>
      </c>
      <c r="I374" s="4"/>
      <c r="J374" s="22">
        <v>0.27569444444444446</v>
      </c>
      <c r="K374" s="22">
        <v>7.4999999999999997E-2</v>
      </c>
      <c r="L374" s="4"/>
      <c r="M374" s="4"/>
      <c r="N374" t="s">
        <v>1248</v>
      </c>
      <c r="O374" s="4"/>
      <c r="P374" t="s">
        <v>395</v>
      </c>
      <c r="Q374">
        <v>6</v>
      </c>
    </row>
    <row r="375" spans="1:17" ht="14.25" customHeight="1" x14ac:dyDescent="0.25">
      <c r="A375" s="4"/>
      <c r="B375" s="21">
        <v>44208</v>
      </c>
      <c r="C375" s="5">
        <f t="shared" si="10"/>
        <v>3</v>
      </c>
      <c r="D375" s="5">
        <f t="shared" si="11"/>
        <v>3</v>
      </c>
      <c r="E375" s="1" t="s">
        <v>6</v>
      </c>
      <c r="F375" s="1" t="s">
        <v>11</v>
      </c>
      <c r="G375">
        <v>47492</v>
      </c>
      <c r="H375">
        <v>100384</v>
      </c>
      <c r="I375" s="4"/>
      <c r="J375" s="22">
        <v>0.36388888888888887</v>
      </c>
      <c r="K375" s="22">
        <v>0.39027777777777778</v>
      </c>
      <c r="L375" s="4"/>
      <c r="M375" s="4"/>
      <c r="N375" t="s">
        <v>1249</v>
      </c>
      <c r="O375" s="4"/>
      <c r="P375" t="s">
        <v>396</v>
      </c>
      <c r="Q375">
        <v>27</v>
      </c>
    </row>
    <row r="376" spans="1:17" ht="14.25" customHeight="1" x14ac:dyDescent="0.25">
      <c r="A376" s="4"/>
      <c r="B376" s="21">
        <v>44208</v>
      </c>
      <c r="C376" s="5">
        <f t="shared" si="10"/>
        <v>3</v>
      </c>
      <c r="D376" s="5">
        <f t="shared" si="11"/>
        <v>3</v>
      </c>
      <c r="E376" s="1" t="s">
        <v>5</v>
      </c>
      <c r="F376" s="1" t="s">
        <v>18</v>
      </c>
      <c r="G376">
        <v>47492</v>
      </c>
      <c r="H376">
        <v>100387</v>
      </c>
      <c r="I376" s="4"/>
      <c r="J376" s="22">
        <v>0.39305555555555555</v>
      </c>
      <c r="K376" s="22">
        <v>0.15902777777777777</v>
      </c>
      <c r="L376" s="4"/>
      <c r="M376" s="4"/>
      <c r="N376" t="s">
        <v>1250</v>
      </c>
      <c r="O376" s="4"/>
      <c r="P376" t="s">
        <v>397</v>
      </c>
      <c r="Q376">
        <v>30</v>
      </c>
    </row>
    <row r="377" spans="1:17" ht="14.25" customHeight="1" x14ac:dyDescent="0.25">
      <c r="A377" s="4"/>
      <c r="B377" s="21">
        <v>44208</v>
      </c>
      <c r="C377" s="5">
        <f t="shared" si="10"/>
        <v>3</v>
      </c>
      <c r="D377" s="5">
        <f t="shared" si="11"/>
        <v>3</v>
      </c>
      <c r="E377" s="1" t="s">
        <v>6</v>
      </c>
      <c r="F377" s="1" t="s">
        <v>13</v>
      </c>
      <c r="G377">
        <v>47493</v>
      </c>
      <c r="H377">
        <v>100387</v>
      </c>
      <c r="I377" s="4"/>
      <c r="J377" s="22">
        <v>0.42430555555555555</v>
      </c>
      <c r="K377" s="22">
        <v>0.13958333333333334</v>
      </c>
      <c r="L377" s="4"/>
      <c r="M377" s="4"/>
      <c r="N377" t="s">
        <v>1251</v>
      </c>
      <c r="O377" s="4"/>
      <c r="P377" t="s">
        <v>398</v>
      </c>
      <c r="Q377">
        <v>11</v>
      </c>
    </row>
    <row r="378" spans="1:17" ht="14.25" customHeight="1" x14ac:dyDescent="0.25">
      <c r="A378" s="4"/>
      <c r="B378" s="21">
        <v>44208</v>
      </c>
      <c r="C378" s="5">
        <f t="shared" si="10"/>
        <v>3</v>
      </c>
      <c r="D378" s="5">
        <f t="shared" si="11"/>
        <v>3</v>
      </c>
      <c r="E378" s="1" t="s">
        <v>7</v>
      </c>
      <c r="F378" s="1" t="s">
        <v>14</v>
      </c>
      <c r="G378">
        <v>47493</v>
      </c>
      <c r="H378">
        <v>100387</v>
      </c>
      <c r="I378" s="4"/>
      <c r="J378" s="22">
        <v>0.4777777777777778</v>
      </c>
      <c r="K378" s="22">
        <v>0.53819444444444442</v>
      </c>
      <c r="L378" s="4"/>
      <c r="M378" s="4"/>
      <c r="N378" t="s">
        <v>1252</v>
      </c>
      <c r="O378" s="4"/>
      <c r="P378" t="s">
        <v>399</v>
      </c>
      <c r="Q378">
        <v>3</v>
      </c>
    </row>
    <row r="379" spans="1:17" ht="14.25" customHeight="1" x14ac:dyDescent="0.25">
      <c r="A379" s="4"/>
      <c r="B379" s="21">
        <v>44208</v>
      </c>
      <c r="C379" s="5">
        <f t="shared" si="10"/>
        <v>3</v>
      </c>
      <c r="D379" s="5">
        <f t="shared" si="11"/>
        <v>3</v>
      </c>
      <c r="E379" s="1" t="s">
        <v>7</v>
      </c>
      <c r="F379" s="1" t="s">
        <v>15</v>
      </c>
      <c r="G379">
        <v>47493</v>
      </c>
      <c r="H379">
        <v>100387</v>
      </c>
      <c r="I379" s="4"/>
      <c r="J379" s="22">
        <v>0.25347222222222221</v>
      </c>
      <c r="K379" s="22">
        <v>0.23819444444444446</v>
      </c>
      <c r="L379" s="4"/>
      <c r="M379" s="4"/>
      <c r="N379" t="s">
        <v>1253</v>
      </c>
      <c r="O379" s="4"/>
      <c r="P379" t="s">
        <v>400</v>
      </c>
      <c r="Q379">
        <v>18</v>
      </c>
    </row>
    <row r="380" spans="1:17" ht="14.25" customHeight="1" x14ac:dyDescent="0.25">
      <c r="A380" s="4"/>
      <c r="B380" s="21">
        <v>44208</v>
      </c>
      <c r="C380" s="5">
        <f t="shared" si="10"/>
        <v>3</v>
      </c>
      <c r="D380" s="5">
        <f t="shared" si="11"/>
        <v>3</v>
      </c>
      <c r="E380" s="1" t="s">
        <v>5</v>
      </c>
      <c r="F380" s="1" t="s">
        <v>20</v>
      </c>
      <c r="G380">
        <v>47494</v>
      </c>
      <c r="H380">
        <v>100388</v>
      </c>
      <c r="I380" s="4"/>
      <c r="J380" s="22">
        <v>0.49652777777777773</v>
      </c>
      <c r="K380" s="22">
        <v>4.7222222222222221E-2</v>
      </c>
      <c r="L380" s="4"/>
      <c r="M380" s="4"/>
      <c r="N380" t="s">
        <v>1254</v>
      </c>
      <c r="O380" s="4"/>
      <c r="P380" t="s">
        <v>401</v>
      </c>
      <c r="Q380">
        <v>20</v>
      </c>
    </row>
    <row r="381" spans="1:17" ht="14.25" customHeight="1" x14ac:dyDescent="0.25">
      <c r="A381" s="4"/>
      <c r="B381" s="21">
        <v>44208</v>
      </c>
      <c r="C381" s="5">
        <f t="shared" si="10"/>
        <v>3</v>
      </c>
      <c r="D381" s="5">
        <f t="shared" si="11"/>
        <v>3</v>
      </c>
      <c r="E381" s="1" t="s">
        <v>7</v>
      </c>
      <c r="F381" s="1" t="s">
        <v>14</v>
      </c>
      <c r="G381">
        <v>47496</v>
      </c>
      <c r="H381">
        <v>100388</v>
      </c>
      <c r="I381" s="4"/>
      <c r="J381" s="22">
        <v>0.43194444444444446</v>
      </c>
      <c r="K381" s="22">
        <v>0.75694444444444453</v>
      </c>
      <c r="L381" s="4"/>
      <c r="M381" s="4"/>
      <c r="N381" t="s">
        <v>1255</v>
      </c>
      <c r="O381" s="4"/>
      <c r="P381" t="s">
        <v>402</v>
      </c>
      <c r="Q381">
        <v>25</v>
      </c>
    </row>
    <row r="382" spans="1:17" ht="14.25" customHeight="1" x14ac:dyDescent="0.25">
      <c r="A382" s="4"/>
      <c r="B382" s="21">
        <v>44208</v>
      </c>
      <c r="C382" s="5">
        <f t="shared" si="10"/>
        <v>3</v>
      </c>
      <c r="D382" s="5">
        <f t="shared" si="11"/>
        <v>3</v>
      </c>
      <c r="E382" s="1" t="s">
        <v>5</v>
      </c>
      <c r="F382" s="1" t="s">
        <v>20</v>
      </c>
      <c r="G382">
        <v>47497</v>
      </c>
      <c r="H382">
        <v>100388</v>
      </c>
      <c r="I382" s="4"/>
      <c r="J382" s="22">
        <v>0.4375</v>
      </c>
      <c r="K382" s="22">
        <v>0.14652777777777778</v>
      </c>
      <c r="L382" s="4"/>
      <c r="M382" s="4"/>
      <c r="N382" t="s">
        <v>1256</v>
      </c>
      <c r="O382" s="4"/>
      <c r="P382" t="s">
        <v>403</v>
      </c>
      <c r="Q382">
        <v>1</v>
      </c>
    </row>
    <row r="383" spans="1:17" ht="14.25" customHeight="1" x14ac:dyDescent="0.25">
      <c r="A383" s="4"/>
      <c r="B383" s="21">
        <v>44208</v>
      </c>
      <c r="C383" s="5">
        <f t="shared" si="10"/>
        <v>3</v>
      </c>
      <c r="D383" s="5">
        <f t="shared" si="11"/>
        <v>3</v>
      </c>
      <c r="E383" s="1" t="s">
        <v>7</v>
      </c>
      <c r="F383" s="1" t="s">
        <v>16</v>
      </c>
      <c r="G383">
        <v>47497</v>
      </c>
      <c r="H383">
        <v>100389</v>
      </c>
      <c r="I383" s="4"/>
      <c r="J383" s="22">
        <v>0.35902777777777778</v>
      </c>
      <c r="K383" s="22">
        <v>0.6</v>
      </c>
      <c r="L383" s="4"/>
      <c r="M383" s="4"/>
      <c r="N383" t="s">
        <v>1257</v>
      </c>
      <c r="O383" s="4"/>
      <c r="P383" t="s">
        <v>404</v>
      </c>
      <c r="Q383">
        <v>15</v>
      </c>
    </row>
    <row r="384" spans="1:17" ht="14.25" customHeight="1" x14ac:dyDescent="0.25">
      <c r="A384" s="4"/>
      <c r="B384" s="21">
        <v>44208</v>
      </c>
      <c r="C384" s="5">
        <f t="shared" si="10"/>
        <v>3</v>
      </c>
      <c r="D384" s="5">
        <f t="shared" si="11"/>
        <v>3</v>
      </c>
      <c r="E384" s="1" t="s">
        <v>6</v>
      </c>
      <c r="F384" s="1" t="s">
        <v>12</v>
      </c>
      <c r="G384">
        <v>47498</v>
      </c>
      <c r="H384">
        <v>100393</v>
      </c>
      <c r="I384" s="4"/>
      <c r="J384" s="22">
        <v>0.34722222222222227</v>
      </c>
      <c r="K384" s="22">
        <v>0.91111111111111109</v>
      </c>
      <c r="L384" s="4"/>
      <c r="M384" s="4"/>
      <c r="N384" t="s">
        <v>1258</v>
      </c>
      <c r="O384" s="4"/>
      <c r="P384" t="s">
        <v>405</v>
      </c>
      <c r="Q384">
        <v>2</v>
      </c>
    </row>
    <row r="385" spans="1:17" ht="14.25" customHeight="1" x14ac:dyDescent="0.25">
      <c r="A385" s="4"/>
      <c r="B385" s="21">
        <v>44208</v>
      </c>
      <c r="C385" s="5">
        <f t="shared" si="10"/>
        <v>3</v>
      </c>
      <c r="D385" s="5">
        <f t="shared" si="11"/>
        <v>3</v>
      </c>
      <c r="E385" s="1" t="s">
        <v>5</v>
      </c>
      <c r="F385" s="1" t="s">
        <v>18</v>
      </c>
      <c r="G385">
        <v>47498</v>
      </c>
      <c r="H385">
        <v>100394</v>
      </c>
      <c r="I385" s="4"/>
      <c r="J385" s="22">
        <v>0.39861111111111108</v>
      </c>
      <c r="K385" s="22">
        <v>0.6430555555555556</v>
      </c>
      <c r="L385" s="4"/>
      <c r="M385" s="4"/>
      <c r="N385" t="s">
        <v>1259</v>
      </c>
      <c r="O385" s="4"/>
      <c r="P385" t="s">
        <v>406</v>
      </c>
      <c r="Q385">
        <v>29</v>
      </c>
    </row>
    <row r="386" spans="1:17" ht="14.25" customHeight="1" x14ac:dyDescent="0.25">
      <c r="A386" s="4"/>
      <c r="B386" s="21">
        <v>44209</v>
      </c>
      <c r="C386" s="5">
        <f t="shared" si="10"/>
        <v>3</v>
      </c>
      <c r="D386" s="5">
        <f t="shared" si="11"/>
        <v>4</v>
      </c>
      <c r="E386" s="1" t="s">
        <v>5</v>
      </c>
      <c r="F386" s="1" t="s">
        <v>18</v>
      </c>
      <c r="G386">
        <v>47499</v>
      </c>
      <c r="H386">
        <v>100396</v>
      </c>
      <c r="I386" s="4"/>
      <c r="J386" s="22">
        <v>0.28194444444444444</v>
      </c>
      <c r="K386" s="22">
        <v>0.65625</v>
      </c>
      <c r="L386" s="4"/>
      <c r="M386" s="4"/>
      <c r="N386" t="s">
        <v>1260</v>
      </c>
      <c r="O386" s="4"/>
      <c r="P386" t="s">
        <v>407</v>
      </c>
      <c r="Q386">
        <v>28</v>
      </c>
    </row>
    <row r="387" spans="1:17" ht="14.25" customHeight="1" x14ac:dyDescent="0.25">
      <c r="A387" s="4"/>
      <c r="B387" s="21">
        <v>44209</v>
      </c>
      <c r="C387" s="5">
        <f t="shared" ref="C387:C450" si="12">WEEKNUM(B387)</f>
        <v>3</v>
      </c>
      <c r="D387" s="5">
        <f t="shared" ref="D387:D450" si="13">WEEKDAY(B387)</f>
        <v>4</v>
      </c>
      <c r="E387" s="1" t="s">
        <v>7</v>
      </c>
      <c r="F387" s="1" t="s">
        <v>14</v>
      </c>
      <c r="G387">
        <v>47499</v>
      </c>
      <c r="H387">
        <v>100396</v>
      </c>
      <c r="I387" s="4"/>
      <c r="J387" s="22">
        <v>0.29375000000000001</v>
      </c>
      <c r="K387" s="22">
        <v>0.10625</v>
      </c>
      <c r="L387" s="4"/>
      <c r="M387" s="4"/>
      <c r="N387" t="s">
        <v>1261</v>
      </c>
      <c r="O387" s="4"/>
      <c r="P387" t="s">
        <v>408</v>
      </c>
      <c r="Q387">
        <v>7</v>
      </c>
    </row>
    <row r="388" spans="1:17" ht="14.25" customHeight="1" x14ac:dyDescent="0.25">
      <c r="A388" s="4"/>
      <c r="B388" s="21">
        <v>44209</v>
      </c>
      <c r="C388" s="5">
        <f t="shared" si="12"/>
        <v>3</v>
      </c>
      <c r="D388" s="5">
        <f t="shared" si="13"/>
        <v>4</v>
      </c>
      <c r="E388" s="1" t="s">
        <v>7</v>
      </c>
      <c r="F388" s="1" t="s">
        <v>15</v>
      </c>
      <c r="G388">
        <v>47502</v>
      </c>
      <c r="H388">
        <v>100397</v>
      </c>
      <c r="I388" s="4"/>
      <c r="J388" s="22">
        <v>0.4513888888888889</v>
      </c>
      <c r="K388" s="22">
        <v>0.1125</v>
      </c>
      <c r="L388" s="4"/>
      <c r="M388" s="4"/>
      <c r="N388" t="s">
        <v>1262</v>
      </c>
      <c r="O388" s="4"/>
      <c r="P388" t="s">
        <v>409</v>
      </c>
      <c r="Q388">
        <v>2</v>
      </c>
    </row>
    <row r="389" spans="1:17" ht="14.25" customHeight="1" x14ac:dyDescent="0.25">
      <c r="A389" s="4"/>
      <c r="B389" s="21">
        <v>44209</v>
      </c>
      <c r="C389" s="5">
        <f t="shared" si="12"/>
        <v>3</v>
      </c>
      <c r="D389" s="5">
        <f t="shared" si="13"/>
        <v>4</v>
      </c>
      <c r="E389" s="1" t="s">
        <v>6</v>
      </c>
      <c r="F389" s="1" t="s">
        <v>12</v>
      </c>
      <c r="G389">
        <v>47504</v>
      </c>
      <c r="H389">
        <v>100397</v>
      </c>
      <c r="I389" s="4"/>
      <c r="J389" s="22">
        <v>0.40208333333333335</v>
      </c>
      <c r="K389" s="22">
        <v>0.41319444444444442</v>
      </c>
      <c r="L389" s="4"/>
      <c r="M389" s="4"/>
      <c r="N389" t="s">
        <v>1263</v>
      </c>
      <c r="O389" s="4"/>
      <c r="P389" t="s">
        <v>410</v>
      </c>
      <c r="Q389">
        <v>24</v>
      </c>
    </row>
    <row r="390" spans="1:17" ht="14.25" customHeight="1" x14ac:dyDescent="0.25">
      <c r="A390" s="4"/>
      <c r="B390" s="21">
        <v>44209</v>
      </c>
      <c r="C390" s="5">
        <f t="shared" si="12"/>
        <v>3</v>
      </c>
      <c r="D390" s="5">
        <f t="shared" si="13"/>
        <v>4</v>
      </c>
      <c r="E390" s="1" t="s">
        <v>5</v>
      </c>
      <c r="F390" s="1" t="s">
        <v>19</v>
      </c>
      <c r="G390">
        <v>47504</v>
      </c>
      <c r="H390">
        <v>100398</v>
      </c>
      <c r="I390" s="4"/>
      <c r="J390" s="22">
        <v>0.47847222222222219</v>
      </c>
      <c r="K390" s="22">
        <v>0.9159722222222223</v>
      </c>
      <c r="L390" s="4"/>
      <c r="M390" s="4"/>
      <c r="N390" t="s">
        <v>1264</v>
      </c>
      <c r="O390" s="4"/>
      <c r="P390" t="s">
        <v>70</v>
      </c>
      <c r="Q390">
        <v>5</v>
      </c>
    </row>
    <row r="391" spans="1:17" ht="14.25" customHeight="1" x14ac:dyDescent="0.25">
      <c r="A391" s="4"/>
      <c r="B391" s="21">
        <v>44209</v>
      </c>
      <c r="C391" s="5">
        <f t="shared" si="12"/>
        <v>3</v>
      </c>
      <c r="D391" s="5">
        <f t="shared" si="13"/>
        <v>4</v>
      </c>
      <c r="E391" s="1" t="s">
        <v>7</v>
      </c>
      <c r="F391" s="1" t="s">
        <v>16</v>
      </c>
      <c r="G391">
        <v>47505</v>
      </c>
      <c r="H391">
        <v>100398</v>
      </c>
      <c r="I391" s="4"/>
      <c r="J391" s="22">
        <v>0.33333333333333331</v>
      </c>
      <c r="K391" s="22">
        <v>9.375E-2</v>
      </c>
      <c r="L391" s="4"/>
      <c r="M391" s="4"/>
      <c r="N391" t="s">
        <v>1265</v>
      </c>
      <c r="O391" s="4"/>
      <c r="P391" t="s">
        <v>411</v>
      </c>
      <c r="Q391">
        <v>11</v>
      </c>
    </row>
    <row r="392" spans="1:17" ht="14.25" customHeight="1" x14ac:dyDescent="0.25">
      <c r="A392" s="4"/>
      <c r="B392" s="21">
        <v>44209</v>
      </c>
      <c r="C392" s="5">
        <f t="shared" si="12"/>
        <v>3</v>
      </c>
      <c r="D392" s="5">
        <f t="shared" si="13"/>
        <v>4</v>
      </c>
      <c r="E392" s="1" t="s">
        <v>7</v>
      </c>
      <c r="F392" s="1" t="s">
        <v>14</v>
      </c>
      <c r="G392">
        <v>47506</v>
      </c>
      <c r="H392">
        <v>100399</v>
      </c>
      <c r="I392" s="4"/>
      <c r="J392" s="22">
        <v>0.40972222222222227</v>
      </c>
      <c r="K392" s="22">
        <v>7.7083333333333337E-2</v>
      </c>
      <c r="L392" s="4"/>
      <c r="M392" s="4"/>
      <c r="N392" t="s">
        <v>1266</v>
      </c>
      <c r="O392" s="4"/>
      <c r="P392" t="s">
        <v>412</v>
      </c>
      <c r="Q392">
        <v>18</v>
      </c>
    </row>
    <row r="393" spans="1:17" ht="14.25" customHeight="1" x14ac:dyDescent="0.25">
      <c r="A393" s="4"/>
      <c r="B393" s="21">
        <v>44209</v>
      </c>
      <c r="C393" s="5">
        <f t="shared" si="12"/>
        <v>3</v>
      </c>
      <c r="D393" s="5">
        <f t="shared" si="13"/>
        <v>4</v>
      </c>
      <c r="E393" s="1" t="s">
        <v>6</v>
      </c>
      <c r="F393" s="1" t="s">
        <v>13</v>
      </c>
      <c r="G393">
        <v>47507</v>
      </c>
      <c r="H393">
        <v>100399</v>
      </c>
      <c r="I393" s="4"/>
      <c r="J393" s="22">
        <v>0.33124999999999999</v>
      </c>
      <c r="K393" s="22">
        <v>0.58750000000000002</v>
      </c>
      <c r="L393" s="4"/>
      <c r="M393" s="4"/>
      <c r="N393" t="s">
        <v>1267</v>
      </c>
      <c r="O393" s="4"/>
      <c r="P393" t="s">
        <v>413</v>
      </c>
      <c r="Q393">
        <v>12</v>
      </c>
    </row>
    <row r="394" spans="1:17" ht="14.25" customHeight="1" x14ac:dyDescent="0.25">
      <c r="A394" s="4"/>
      <c r="B394" s="21">
        <v>44209</v>
      </c>
      <c r="C394" s="5">
        <f t="shared" si="12"/>
        <v>3</v>
      </c>
      <c r="D394" s="5">
        <f t="shared" si="13"/>
        <v>4</v>
      </c>
      <c r="E394" s="1" t="s">
        <v>7</v>
      </c>
      <c r="F394" s="1" t="s">
        <v>16</v>
      </c>
      <c r="G394">
        <v>47507</v>
      </c>
      <c r="H394">
        <v>100400</v>
      </c>
      <c r="I394" s="4"/>
      <c r="J394" s="22">
        <v>0.34930555555555554</v>
      </c>
      <c r="K394" s="22">
        <v>0.58194444444444449</v>
      </c>
      <c r="L394" s="4"/>
      <c r="M394" s="4"/>
      <c r="N394" t="s">
        <v>1268</v>
      </c>
      <c r="O394" s="4"/>
      <c r="P394" t="s">
        <v>414</v>
      </c>
      <c r="Q394">
        <v>25</v>
      </c>
    </row>
    <row r="395" spans="1:17" ht="14.25" customHeight="1" x14ac:dyDescent="0.25">
      <c r="A395" s="4"/>
      <c r="B395" s="21">
        <v>44209</v>
      </c>
      <c r="C395" s="5">
        <f t="shared" si="12"/>
        <v>3</v>
      </c>
      <c r="D395" s="5">
        <f t="shared" si="13"/>
        <v>4</v>
      </c>
      <c r="E395" s="1" t="s">
        <v>7</v>
      </c>
      <c r="F395" s="1" t="s">
        <v>15</v>
      </c>
      <c r="G395">
        <v>47507</v>
      </c>
      <c r="H395">
        <v>100400</v>
      </c>
      <c r="I395" s="4"/>
      <c r="J395" s="22">
        <v>0.25069444444444444</v>
      </c>
      <c r="K395" s="22">
        <v>2.013888888888889E-2</v>
      </c>
      <c r="L395" s="4"/>
      <c r="M395" s="4"/>
      <c r="N395" t="s">
        <v>1269</v>
      </c>
      <c r="O395" s="4"/>
      <c r="P395" t="s">
        <v>415</v>
      </c>
      <c r="Q395">
        <v>7</v>
      </c>
    </row>
    <row r="396" spans="1:17" ht="14.25" customHeight="1" x14ac:dyDescent="0.25">
      <c r="A396" s="4"/>
      <c r="B396" s="21">
        <v>44209</v>
      </c>
      <c r="C396" s="5">
        <f t="shared" si="12"/>
        <v>3</v>
      </c>
      <c r="D396" s="5">
        <f t="shared" si="13"/>
        <v>4</v>
      </c>
      <c r="E396" s="1" t="s">
        <v>7</v>
      </c>
      <c r="F396" s="1" t="s">
        <v>16</v>
      </c>
      <c r="G396">
        <v>47508</v>
      </c>
      <c r="H396">
        <v>100401</v>
      </c>
      <c r="I396" s="4"/>
      <c r="J396" s="22">
        <v>0.29444444444444445</v>
      </c>
      <c r="K396" s="22">
        <v>0.36041666666666666</v>
      </c>
      <c r="L396" s="4"/>
      <c r="M396" s="4"/>
      <c r="N396" t="s">
        <v>1270</v>
      </c>
      <c r="O396" s="4"/>
      <c r="P396" t="s">
        <v>416</v>
      </c>
      <c r="Q396">
        <v>10</v>
      </c>
    </row>
    <row r="397" spans="1:17" ht="14.25" customHeight="1" x14ac:dyDescent="0.25">
      <c r="A397" s="4"/>
      <c r="B397" s="21">
        <v>44209</v>
      </c>
      <c r="C397" s="5">
        <f t="shared" si="12"/>
        <v>3</v>
      </c>
      <c r="D397" s="5">
        <f t="shared" si="13"/>
        <v>4</v>
      </c>
      <c r="E397" s="1" t="s">
        <v>7</v>
      </c>
      <c r="F397" s="1" t="s">
        <v>15</v>
      </c>
      <c r="G397">
        <v>47508</v>
      </c>
      <c r="H397">
        <v>100401</v>
      </c>
      <c r="I397" s="4"/>
      <c r="J397" s="22">
        <v>0.30763888888888891</v>
      </c>
      <c r="K397" s="22">
        <v>0.22638888888888889</v>
      </c>
      <c r="L397" s="4"/>
      <c r="M397" s="4"/>
      <c r="N397" t="s">
        <v>1271</v>
      </c>
      <c r="O397" s="4"/>
      <c r="P397" t="s">
        <v>417</v>
      </c>
      <c r="Q397">
        <v>27</v>
      </c>
    </row>
    <row r="398" spans="1:17" ht="14.25" customHeight="1" x14ac:dyDescent="0.25">
      <c r="A398" s="4"/>
      <c r="B398" s="21">
        <v>44209</v>
      </c>
      <c r="C398" s="5">
        <f t="shared" si="12"/>
        <v>3</v>
      </c>
      <c r="D398" s="5">
        <f t="shared" si="13"/>
        <v>4</v>
      </c>
      <c r="E398" s="1" t="s">
        <v>7</v>
      </c>
      <c r="F398" s="1" t="s">
        <v>14</v>
      </c>
      <c r="G398">
        <v>47510</v>
      </c>
      <c r="H398">
        <v>100402</v>
      </c>
      <c r="I398" s="4"/>
      <c r="J398" s="22">
        <v>0.39166666666666666</v>
      </c>
      <c r="K398" s="22">
        <v>0.12916666666666668</v>
      </c>
      <c r="L398" s="4"/>
      <c r="M398" s="4"/>
      <c r="N398" t="s">
        <v>1272</v>
      </c>
      <c r="O398" s="4"/>
      <c r="P398" t="s">
        <v>418</v>
      </c>
      <c r="Q398">
        <v>33</v>
      </c>
    </row>
    <row r="399" spans="1:17" ht="14.25" customHeight="1" x14ac:dyDescent="0.25">
      <c r="A399" s="4"/>
      <c r="B399" s="21">
        <v>44209</v>
      </c>
      <c r="C399" s="5">
        <f t="shared" si="12"/>
        <v>3</v>
      </c>
      <c r="D399" s="5">
        <f t="shared" si="13"/>
        <v>4</v>
      </c>
      <c r="E399" s="1" t="s">
        <v>7</v>
      </c>
      <c r="F399" s="1" t="s">
        <v>15</v>
      </c>
      <c r="G399">
        <v>47511</v>
      </c>
      <c r="H399">
        <v>100404</v>
      </c>
      <c r="I399" s="4"/>
      <c r="J399" s="22">
        <v>0.32083333333333336</v>
      </c>
      <c r="K399" s="22">
        <v>0.91666666666666663</v>
      </c>
      <c r="L399" s="4"/>
      <c r="M399" s="4"/>
      <c r="N399" t="s">
        <v>1273</v>
      </c>
      <c r="O399" s="4"/>
      <c r="P399" t="s">
        <v>419</v>
      </c>
      <c r="Q399">
        <v>26</v>
      </c>
    </row>
    <row r="400" spans="1:17" ht="14.25" customHeight="1" x14ac:dyDescent="0.25">
      <c r="A400" s="4"/>
      <c r="B400" s="21">
        <v>44209</v>
      </c>
      <c r="C400" s="5">
        <f t="shared" si="12"/>
        <v>3</v>
      </c>
      <c r="D400" s="5">
        <f t="shared" si="13"/>
        <v>4</v>
      </c>
      <c r="E400" s="1" t="s">
        <v>6</v>
      </c>
      <c r="F400" s="1" t="s">
        <v>11</v>
      </c>
      <c r="G400">
        <v>47511</v>
      </c>
      <c r="H400">
        <v>100405</v>
      </c>
      <c r="I400" s="4"/>
      <c r="J400" s="22">
        <v>0.36388888888888887</v>
      </c>
      <c r="K400" s="22">
        <v>0.10277777777777779</v>
      </c>
      <c r="L400" s="4"/>
      <c r="M400" s="4"/>
      <c r="N400" t="s">
        <v>1274</v>
      </c>
      <c r="O400" s="4"/>
      <c r="P400" t="s">
        <v>420</v>
      </c>
      <c r="Q400">
        <v>30</v>
      </c>
    </row>
    <row r="401" spans="1:17" ht="14.25" customHeight="1" x14ac:dyDescent="0.25">
      <c r="A401" s="4"/>
      <c r="B401" s="21">
        <v>44209</v>
      </c>
      <c r="C401" s="5">
        <f t="shared" si="12"/>
        <v>3</v>
      </c>
      <c r="D401" s="5">
        <f t="shared" si="13"/>
        <v>4</v>
      </c>
      <c r="E401" s="1" t="s">
        <v>6</v>
      </c>
      <c r="F401" s="1" t="s">
        <v>13</v>
      </c>
      <c r="G401">
        <v>47512</v>
      </c>
      <c r="H401">
        <v>100405</v>
      </c>
      <c r="I401" s="4"/>
      <c r="J401" s="22">
        <v>0.40208333333333335</v>
      </c>
      <c r="K401" s="22">
        <v>0.56180555555555556</v>
      </c>
      <c r="L401" s="4"/>
      <c r="M401" s="4"/>
      <c r="N401" t="s">
        <v>1275</v>
      </c>
      <c r="O401" s="4"/>
      <c r="P401" t="s">
        <v>421</v>
      </c>
      <c r="Q401">
        <v>28</v>
      </c>
    </row>
    <row r="402" spans="1:17" ht="14.25" customHeight="1" x14ac:dyDescent="0.25">
      <c r="A402" s="4"/>
      <c r="B402" s="21">
        <v>44209</v>
      </c>
      <c r="C402" s="5">
        <f t="shared" si="12"/>
        <v>3</v>
      </c>
      <c r="D402" s="5">
        <f t="shared" si="13"/>
        <v>4</v>
      </c>
      <c r="E402" s="1" t="s">
        <v>7</v>
      </c>
      <c r="F402" s="1" t="s">
        <v>15</v>
      </c>
      <c r="G402">
        <v>47514</v>
      </c>
      <c r="H402">
        <v>100405</v>
      </c>
      <c r="I402" s="4"/>
      <c r="J402" s="22">
        <v>0.30555555555555552</v>
      </c>
      <c r="K402" s="22">
        <v>0.26319444444444445</v>
      </c>
      <c r="L402" s="4"/>
      <c r="M402" s="4"/>
      <c r="N402" t="s">
        <v>1276</v>
      </c>
      <c r="O402" s="4"/>
      <c r="P402" t="s">
        <v>422</v>
      </c>
      <c r="Q402">
        <v>25</v>
      </c>
    </row>
    <row r="403" spans="1:17" ht="14.25" customHeight="1" x14ac:dyDescent="0.25">
      <c r="A403" s="4"/>
      <c r="B403" s="21">
        <v>44209</v>
      </c>
      <c r="C403" s="5">
        <f t="shared" si="12"/>
        <v>3</v>
      </c>
      <c r="D403" s="5">
        <f t="shared" si="13"/>
        <v>4</v>
      </c>
      <c r="E403" s="1" t="s">
        <v>6</v>
      </c>
      <c r="F403" s="1" t="s">
        <v>12</v>
      </c>
      <c r="G403">
        <v>47514</v>
      </c>
      <c r="H403">
        <v>100406</v>
      </c>
      <c r="I403" s="4"/>
      <c r="J403" s="22">
        <v>0.4201388888888889</v>
      </c>
      <c r="K403" s="22">
        <v>0.40347222222222223</v>
      </c>
      <c r="L403" s="4"/>
      <c r="M403" s="4"/>
      <c r="N403" t="s">
        <v>1277</v>
      </c>
      <c r="O403" s="4"/>
      <c r="P403" t="s">
        <v>369</v>
      </c>
      <c r="Q403">
        <v>4</v>
      </c>
    </row>
    <row r="404" spans="1:17" ht="14.25" customHeight="1" x14ac:dyDescent="0.25">
      <c r="A404" s="4"/>
      <c r="B404" s="21">
        <v>44209</v>
      </c>
      <c r="C404" s="5">
        <f t="shared" si="12"/>
        <v>3</v>
      </c>
      <c r="D404" s="5">
        <f t="shared" si="13"/>
        <v>4</v>
      </c>
      <c r="E404" s="1" t="s">
        <v>5</v>
      </c>
      <c r="F404" s="1" t="s">
        <v>20</v>
      </c>
      <c r="G404">
        <v>47515</v>
      </c>
      <c r="H404">
        <v>100406</v>
      </c>
      <c r="I404" s="4"/>
      <c r="J404" s="22">
        <v>0.45624999999999999</v>
      </c>
      <c r="K404" s="22">
        <v>0.60486111111111118</v>
      </c>
      <c r="L404" s="4"/>
      <c r="M404" s="4"/>
      <c r="N404" t="s">
        <v>1278</v>
      </c>
      <c r="O404" s="4"/>
      <c r="P404" t="s">
        <v>423</v>
      </c>
      <c r="Q404">
        <v>7</v>
      </c>
    </row>
    <row r="405" spans="1:17" ht="14.25" customHeight="1" x14ac:dyDescent="0.25">
      <c r="A405" s="4"/>
      <c r="B405" s="21">
        <v>44209</v>
      </c>
      <c r="C405" s="5">
        <f t="shared" si="12"/>
        <v>3</v>
      </c>
      <c r="D405" s="5">
        <f t="shared" si="13"/>
        <v>4</v>
      </c>
      <c r="E405" s="1" t="s">
        <v>5</v>
      </c>
      <c r="F405" s="1" t="s">
        <v>18</v>
      </c>
      <c r="G405">
        <v>47515</v>
      </c>
      <c r="H405">
        <v>100407</v>
      </c>
      <c r="I405" s="4"/>
      <c r="J405" s="22">
        <v>0.31875000000000003</v>
      </c>
      <c r="K405" s="22">
        <v>0.6694444444444444</v>
      </c>
      <c r="L405" s="4"/>
      <c r="M405" s="4"/>
      <c r="N405" t="s">
        <v>1279</v>
      </c>
      <c r="O405" s="4"/>
      <c r="P405" t="s">
        <v>424</v>
      </c>
      <c r="Q405">
        <v>29</v>
      </c>
    </row>
    <row r="406" spans="1:17" ht="14.25" customHeight="1" x14ac:dyDescent="0.25">
      <c r="A406" s="4"/>
      <c r="B406" s="21">
        <v>44209</v>
      </c>
      <c r="C406" s="5">
        <f t="shared" si="12"/>
        <v>3</v>
      </c>
      <c r="D406" s="5">
        <f t="shared" si="13"/>
        <v>4</v>
      </c>
      <c r="E406" s="1" t="s">
        <v>6</v>
      </c>
      <c r="F406" s="1" t="s">
        <v>11</v>
      </c>
      <c r="G406">
        <v>47515</v>
      </c>
      <c r="H406">
        <v>100409</v>
      </c>
      <c r="I406" s="4"/>
      <c r="J406" s="22">
        <v>0.49861111111111112</v>
      </c>
      <c r="K406" s="22">
        <v>0.60138888888888886</v>
      </c>
      <c r="L406" s="4"/>
      <c r="M406" s="4"/>
      <c r="N406" t="s">
        <v>1280</v>
      </c>
      <c r="O406" s="4"/>
      <c r="P406" t="s">
        <v>425</v>
      </c>
      <c r="Q406">
        <v>21</v>
      </c>
    </row>
    <row r="407" spans="1:17" ht="14.25" customHeight="1" x14ac:dyDescent="0.25">
      <c r="A407" s="4"/>
      <c r="B407" s="21">
        <v>44209</v>
      </c>
      <c r="C407" s="5">
        <f t="shared" si="12"/>
        <v>3</v>
      </c>
      <c r="D407" s="5">
        <f t="shared" si="13"/>
        <v>4</v>
      </c>
      <c r="E407" s="1" t="s">
        <v>6</v>
      </c>
      <c r="F407" s="1" t="s">
        <v>13</v>
      </c>
      <c r="G407">
        <v>47516</v>
      </c>
      <c r="H407">
        <v>100409</v>
      </c>
      <c r="I407" s="4"/>
      <c r="J407" s="22">
        <v>0.35833333333333334</v>
      </c>
      <c r="K407" s="22">
        <v>0.66875000000000007</v>
      </c>
      <c r="L407" s="4"/>
      <c r="M407" s="4"/>
      <c r="N407" t="s">
        <v>1281</v>
      </c>
      <c r="O407" s="4"/>
      <c r="P407" t="s">
        <v>399</v>
      </c>
      <c r="Q407">
        <v>33</v>
      </c>
    </row>
    <row r="408" spans="1:17" ht="14.25" customHeight="1" x14ac:dyDescent="0.25">
      <c r="A408" s="4"/>
      <c r="B408" s="21">
        <v>44209</v>
      </c>
      <c r="C408" s="5">
        <f t="shared" si="12"/>
        <v>3</v>
      </c>
      <c r="D408" s="5">
        <f t="shared" si="13"/>
        <v>4</v>
      </c>
      <c r="E408" s="1" t="s">
        <v>5</v>
      </c>
      <c r="F408" s="1" t="s">
        <v>20</v>
      </c>
      <c r="G408">
        <v>47516</v>
      </c>
      <c r="H408">
        <v>100410</v>
      </c>
      <c r="I408" s="4"/>
      <c r="J408" s="22">
        <v>0.36527777777777781</v>
      </c>
      <c r="K408" s="22">
        <v>0.43402777777777773</v>
      </c>
      <c r="L408" s="4"/>
      <c r="M408" s="4"/>
      <c r="N408" t="s">
        <v>1282</v>
      </c>
      <c r="O408" s="4"/>
      <c r="P408" t="s">
        <v>426</v>
      </c>
      <c r="Q408">
        <v>15</v>
      </c>
    </row>
    <row r="409" spans="1:17" ht="14.25" customHeight="1" x14ac:dyDescent="0.25">
      <c r="A409" s="4"/>
      <c r="B409" s="21">
        <v>44209</v>
      </c>
      <c r="C409" s="5">
        <f t="shared" si="12"/>
        <v>3</v>
      </c>
      <c r="D409" s="5">
        <f t="shared" si="13"/>
        <v>4</v>
      </c>
      <c r="E409" s="1" t="s">
        <v>6</v>
      </c>
      <c r="F409" s="1" t="s">
        <v>12</v>
      </c>
      <c r="G409">
        <v>47516</v>
      </c>
      <c r="H409">
        <v>100411</v>
      </c>
      <c r="I409" s="4"/>
      <c r="J409" s="22">
        <v>0.39305555555555555</v>
      </c>
      <c r="K409" s="22">
        <v>0.76180555555555562</v>
      </c>
      <c r="L409" s="4"/>
      <c r="M409" s="4"/>
      <c r="N409" t="s">
        <v>1283</v>
      </c>
      <c r="O409" s="4"/>
      <c r="P409" t="s">
        <v>427</v>
      </c>
      <c r="Q409">
        <v>20</v>
      </c>
    </row>
    <row r="410" spans="1:17" ht="14.25" customHeight="1" x14ac:dyDescent="0.25">
      <c r="A410" s="4"/>
      <c r="B410" s="21">
        <v>44209</v>
      </c>
      <c r="C410" s="5">
        <f t="shared" si="12"/>
        <v>3</v>
      </c>
      <c r="D410" s="5">
        <f t="shared" si="13"/>
        <v>4</v>
      </c>
      <c r="E410" s="1" t="s">
        <v>6</v>
      </c>
      <c r="F410" s="1" t="s">
        <v>11</v>
      </c>
      <c r="G410">
        <v>47517</v>
      </c>
      <c r="H410">
        <v>100411</v>
      </c>
      <c r="I410" s="4"/>
      <c r="J410" s="22">
        <v>0.48402777777777778</v>
      </c>
      <c r="K410" s="22">
        <v>0.94861111111111107</v>
      </c>
      <c r="L410" s="4"/>
      <c r="M410" s="4"/>
      <c r="N410" t="s">
        <v>1284</v>
      </c>
      <c r="O410" s="4"/>
      <c r="P410" t="s">
        <v>428</v>
      </c>
      <c r="Q410">
        <v>16</v>
      </c>
    </row>
    <row r="411" spans="1:17" ht="14.25" customHeight="1" x14ac:dyDescent="0.25">
      <c r="A411" s="4"/>
      <c r="B411" s="21">
        <v>44209</v>
      </c>
      <c r="C411" s="5">
        <f t="shared" si="12"/>
        <v>3</v>
      </c>
      <c r="D411" s="5">
        <f t="shared" si="13"/>
        <v>4</v>
      </c>
      <c r="E411" s="1" t="s">
        <v>7</v>
      </c>
      <c r="F411" s="1" t="s">
        <v>15</v>
      </c>
      <c r="G411">
        <v>47517</v>
      </c>
      <c r="H411">
        <v>100412</v>
      </c>
      <c r="I411" s="4"/>
      <c r="J411" s="22">
        <v>0.28541666666666665</v>
      </c>
      <c r="K411" s="22">
        <v>0.34236111111111112</v>
      </c>
      <c r="L411" s="4"/>
      <c r="M411" s="4"/>
      <c r="N411" t="s">
        <v>1285</v>
      </c>
      <c r="O411" s="4"/>
      <c r="P411" t="s">
        <v>429</v>
      </c>
      <c r="Q411">
        <v>8</v>
      </c>
    </row>
    <row r="412" spans="1:17" ht="14.25" customHeight="1" x14ac:dyDescent="0.25">
      <c r="A412" s="4"/>
      <c r="B412" s="21">
        <v>44209</v>
      </c>
      <c r="C412" s="5">
        <f t="shared" si="12"/>
        <v>3</v>
      </c>
      <c r="D412" s="5">
        <f t="shared" si="13"/>
        <v>4</v>
      </c>
      <c r="E412" s="1" t="s">
        <v>5</v>
      </c>
      <c r="F412" s="1" t="s">
        <v>19</v>
      </c>
      <c r="G412">
        <v>47518</v>
      </c>
      <c r="H412">
        <v>100413</v>
      </c>
      <c r="I412" s="4"/>
      <c r="J412" s="22">
        <v>0.3527777777777778</v>
      </c>
      <c r="K412" s="22">
        <v>0.5625</v>
      </c>
      <c r="L412" s="4"/>
      <c r="M412" s="4"/>
      <c r="N412" t="s">
        <v>1286</v>
      </c>
      <c r="O412" s="4"/>
      <c r="P412" t="s">
        <v>430</v>
      </c>
      <c r="Q412">
        <v>31</v>
      </c>
    </row>
    <row r="413" spans="1:17" ht="14.25" customHeight="1" x14ac:dyDescent="0.25">
      <c r="A413" s="4"/>
      <c r="B413" s="21">
        <v>44209</v>
      </c>
      <c r="C413" s="5">
        <f t="shared" si="12"/>
        <v>3</v>
      </c>
      <c r="D413" s="5">
        <f t="shared" si="13"/>
        <v>4</v>
      </c>
      <c r="E413" s="1" t="s">
        <v>6</v>
      </c>
      <c r="F413" s="1" t="s">
        <v>11</v>
      </c>
      <c r="G413">
        <v>47519</v>
      </c>
      <c r="H413">
        <v>100413</v>
      </c>
      <c r="I413" s="4"/>
      <c r="J413" s="22">
        <v>0.40763888888888888</v>
      </c>
      <c r="K413" s="22">
        <v>0.76180555555555562</v>
      </c>
      <c r="L413" s="4"/>
      <c r="M413" s="4"/>
      <c r="N413" t="s">
        <v>1287</v>
      </c>
      <c r="O413" s="4"/>
      <c r="P413" t="s">
        <v>243</v>
      </c>
      <c r="Q413">
        <v>9</v>
      </c>
    </row>
    <row r="414" spans="1:17" ht="14.25" customHeight="1" x14ac:dyDescent="0.25">
      <c r="A414" s="4"/>
      <c r="B414" s="21">
        <v>44209</v>
      </c>
      <c r="C414" s="5">
        <f t="shared" si="12"/>
        <v>3</v>
      </c>
      <c r="D414" s="5">
        <f t="shared" si="13"/>
        <v>4</v>
      </c>
      <c r="E414" s="1" t="s">
        <v>5</v>
      </c>
      <c r="F414" s="1" t="s">
        <v>18</v>
      </c>
      <c r="G414">
        <v>47519</v>
      </c>
      <c r="H414">
        <v>100414</v>
      </c>
      <c r="I414" s="4"/>
      <c r="J414" s="22">
        <v>0.26250000000000001</v>
      </c>
      <c r="K414" s="22">
        <v>0.34861111111111115</v>
      </c>
      <c r="L414" s="4"/>
      <c r="M414" s="4"/>
      <c r="N414" t="s">
        <v>1288</v>
      </c>
      <c r="O414" s="4"/>
      <c r="P414" t="s">
        <v>431</v>
      </c>
      <c r="Q414">
        <v>31</v>
      </c>
    </row>
    <row r="415" spans="1:17" ht="14.25" customHeight="1" x14ac:dyDescent="0.25">
      <c r="A415" s="4"/>
      <c r="B415" s="21">
        <v>44210</v>
      </c>
      <c r="C415" s="5">
        <f t="shared" si="12"/>
        <v>3</v>
      </c>
      <c r="D415" s="5">
        <f t="shared" si="13"/>
        <v>5</v>
      </c>
      <c r="E415" s="1" t="s">
        <v>6</v>
      </c>
      <c r="F415" s="1" t="s">
        <v>13</v>
      </c>
      <c r="G415">
        <v>47519</v>
      </c>
      <c r="H415">
        <v>100415</v>
      </c>
      <c r="I415" s="4"/>
      <c r="J415" s="22">
        <v>0.3</v>
      </c>
      <c r="K415" s="22">
        <v>0.10208333333333335</v>
      </c>
      <c r="L415" s="4"/>
      <c r="M415" s="4"/>
      <c r="N415" t="s">
        <v>1289</v>
      </c>
      <c r="O415" s="4"/>
      <c r="P415" t="s">
        <v>432</v>
      </c>
      <c r="Q415">
        <v>30</v>
      </c>
    </row>
    <row r="416" spans="1:17" ht="14.25" customHeight="1" x14ac:dyDescent="0.25">
      <c r="A416" s="4"/>
      <c r="B416" s="21">
        <v>44210</v>
      </c>
      <c r="C416" s="5">
        <f t="shared" si="12"/>
        <v>3</v>
      </c>
      <c r="D416" s="5">
        <f t="shared" si="13"/>
        <v>5</v>
      </c>
      <c r="E416" s="1" t="s">
        <v>5</v>
      </c>
      <c r="F416" s="1" t="s">
        <v>19</v>
      </c>
      <c r="G416">
        <v>47521</v>
      </c>
      <c r="H416">
        <v>100417</v>
      </c>
      <c r="I416" s="4"/>
      <c r="J416" s="22">
        <v>0.47361111111111115</v>
      </c>
      <c r="K416" s="22">
        <v>0.98055555555555562</v>
      </c>
      <c r="L416" s="4"/>
      <c r="M416" s="4"/>
      <c r="N416" t="s">
        <v>1290</v>
      </c>
      <c r="O416" s="4"/>
      <c r="P416" t="s">
        <v>433</v>
      </c>
      <c r="Q416">
        <v>27</v>
      </c>
    </row>
    <row r="417" spans="1:17" ht="14.25" customHeight="1" x14ac:dyDescent="0.25">
      <c r="A417" s="4"/>
      <c r="B417" s="21">
        <v>44210</v>
      </c>
      <c r="C417" s="5">
        <f t="shared" si="12"/>
        <v>3</v>
      </c>
      <c r="D417" s="5">
        <f t="shared" si="13"/>
        <v>5</v>
      </c>
      <c r="E417" s="1" t="s">
        <v>5</v>
      </c>
      <c r="F417" s="1" t="s">
        <v>18</v>
      </c>
      <c r="G417">
        <v>47523</v>
      </c>
      <c r="H417">
        <v>100417</v>
      </c>
      <c r="I417" s="4"/>
      <c r="J417" s="22">
        <v>0.40763888888888888</v>
      </c>
      <c r="K417" s="22">
        <v>0.41875000000000001</v>
      </c>
      <c r="L417" s="4"/>
      <c r="M417" s="4"/>
      <c r="N417" t="s">
        <v>1291</v>
      </c>
      <c r="O417" s="4"/>
      <c r="P417" t="s">
        <v>434</v>
      </c>
      <c r="Q417">
        <v>23</v>
      </c>
    </row>
    <row r="418" spans="1:17" ht="14.25" customHeight="1" x14ac:dyDescent="0.25">
      <c r="A418" s="4"/>
      <c r="B418" s="21">
        <v>44210</v>
      </c>
      <c r="C418" s="5">
        <f t="shared" si="12"/>
        <v>3</v>
      </c>
      <c r="D418" s="5">
        <f t="shared" si="13"/>
        <v>5</v>
      </c>
      <c r="E418" s="1" t="s">
        <v>7</v>
      </c>
      <c r="F418" s="1" t="s">
        <v>15</v>
      </c>
      <c r="G418">
        <v>47523</v>
      </c>
      <c r="H418">
        <v>100417</v>
      </c>
      <c r="I418" s="4"/>
      <c r="J418" s="22">
        <v>0.43888888888888888</v>
      </c>
      <c r="K418" s="22">
        <v>0.62222222222222223</v>
      </c>
      <c r="L418" s="4"/>
      <c r="M418" s="4"/>
      <c r="N418" t="s">
        <v>1292</v>
      </c>
      <c r="O418" s="4"/>
      <c r="P418" t="s">
        <v>435</v>
      </c>
      <c r="Q418">
        <v>24</v>
      </c>
    </row>
    <row r="419" spans="1:17" ht="14.25" customHeight="1" x14ac:dyDescent="0.25">
      <c r="A419" s="4"/>
      <c r="B419" s="21">
        <v>44210</v>
      </c>
      <c r="C419" s="5">
        <f t="shared" si="12"/>
        <v>3</v>
      </c>
      <c r="D419" s="5">
        <f t="shared" si="13"/>
        <v>5</v>
      </c>
      <c r="E419" s="1" t="s">
        <v>7</v>
      </c>
      <c r="F419" s="1" t="s">
        <v>16</v>
      </c>
      <c r="G419">
        <v>47523</v>
      </c>
      <c r="H419">
        <v>100424</v>
      </c>
      <c r="I419" s="4"/>
      <c r="J419" s="22">
        <v>0.26874999999999999</v>
      </c>
      <c r="K419" s="22">
        <v>0.98958333333333337</v>
      </c>
      <c r="L419" s="4"/>
      <c r="M419" s="4"/>
      <c r="N419" t="s">
        <v>1293</v>
      </c>
      <c r="O419" s="4"/>
      <c r="P419" t="s">
        <v>436</v>
      </c>
      <c r="Q419">
        <v>32</v>
      </c>
    </row>
    <row r="420" spans="1:17" ht="14.25" customHeight="1" x14ac:dyDescent="0.25">
      <c r="A420" s="4"/>
      <c r="B420" s="21">
        <v>44210</v>
      </c>
      <c r="C420" s="5">
        <f t="shared" si="12"/>
        <v>3</v>
      </c>
      <c r="D420" s="5">
        <f t="shared" si="13"/>
        <v>5</v>
      </c>
      <c r="E420" s="1" t="s">
        <v>6</v>
      </c>
      <c r="F420" s="1" t="s">
        <v>12</v>
      </c>
      <c r="G420">
        <v>47524</v>
      </c>
      <c r="H420">
        <v>100427</v>
      </c>
      <c r="I420" s="4"/>
      <c r="J420" s="22">
        <v>0.46249999999999997</v>
      </c>
      <c r="K420" s="22">
        <v>0.74513888888888891</v>
      </c>
      <c r="L420" s="4"/>
      <c r="M420" s="4"/>
      <c r="N420" t="s">
        <v>1294</v>
      </c>
      <c r="O420" s="4"/>
      <c r="P420" t="s">
        <v>437</v>
      </c>
      <c r="Q420">
        <v>15</v>
      </c>
    </row>
    <row r="421" spans="1:17" ht="14.25" customHeight="1" x14ac:dyDescent="0.25">
      <c r="A421" s="4"/>
      <c r="B421" s="21">
        <v>44210</v>
      </c>
      <c r="C421" s="5">
        <f t="shared" si="12"/>
        <v>3</v>
      </c>
      <c r="D421" s="5">
        <f t="shared" si="13"/>
        <v>5</v>
      </c>
      <c r="E421" s="1" t="s">
        <v>7</v>
      </c>
      <c r="F421" s="1" t="s">
        <v>14</v>
      </c>
      <c r="G421">
        <v>47526</v>
      </c>
      <c r="H421">
        <v>100429</v>
      </c>
      <c r="I421" s="4"/>
      <c r="J421" s="22">
        <v>0.4236111111111111</v>
      </c>
      <c r="K421" s="22">
        <v>0.54166666666666663</v>
      </c>
      <c r="L421" s="4"/>
      <c r="M421" s="4"/>
      <c r="N421" t="s">
        <v>1295</v>
      </c>
      <c r="O421" s="4"/>
      <c r="P421" t="s">
        <v>438</v>
      </c>
      <c r="Q421">
        <v>30</v>
      </c>
    </row>
    <row r="422" spans="1:17" ht="14.25" customHeight="1" x14ac:dyDescent="0.25">
      <c r="A422" s="4"/>
      <c r="B422" s="21">
        <v>44210</v>
      </c>
      <c r="C422" s="5">
        <f t="shared" si="12"/>
        <v>3</v>
      </c>
      <c r="D422" s="5">
        <f t="shared" si="13"/>
        <v>5</v>
      </c>
      <c r="E422" s="1" t="s">
        <v>5</v>
      </c>
      <c r="F422" s="1" t="s">
        <v>19</v>
      </c>
      <c r="G422">
        <v>47526</v>
      </c>
      <c r="H422">
        <v>100431</v>
      </c>
      <c r="I422" s="4"/>
      <c r="J422" s="22">
        <v>0.3444444444444445</v>
      </c>
      <c r="K422" s="22">
        <v>0.98888888888888893</v>
      </c>
      <c r="L422" s="4"/>
      <c r="M422" s="4"/>
      <c r="N422" t="s">
        <v>1296</v>
      </c>
      <c r="O422" s="4"/>
      <c r="P422" t="s">
        <v>439</v>
      </c>
      <c r="Q422">
        <v>17</v>
      </c>
    </row>
    <row r="423" spans="1:17" ht="14.25" customHeight="1" x14ac:dyDescent="0.25">
      <c r="A423" s="4"/>
      <c r="B423" s="21">
        <v>44210</v>
      </c>
      <c r="C423" s="5">
        <f t="shared" si="12"/>
        <v>3</v>
      </c>
      <c r="D423" s="5">
        <f t="shared" si="13"/>
        <v>5</v>
      </c>
      <c r="E423" s="1" t="s">
        <v>6</v>
      </c>
      <c r="F423" s="1" t="s">
        <v>13</v>
      </c>
      <c r="G423">
        <v>47526</v>
      </c>
      <c r="H423">
        <v>100431</v>
      </c>
      <c r="I423" s="4"/>
      <c r="J423" s="22">
        <v>0.3430555555555555</v>
      </c>
      <c r="K423" s="22">
        <v>0.99097222222222225</v>
      </c>
      <c r="L423" s="4"/>
      <c r="M423" s="4"/>
      <c r="N423" t="s">
        <v>1297</v>
      </c>
      <c r="O423" s="4"/>
      <c r="P423" t="s">
        <v>440</v>
      </c>
      <c r="Q423">
        <v>9</v>
      </c>
    </row>
    <row r="424" spans="1:17" ht="14.25" customHeight="1" x14ac:dyDescent="0.25">
      <c r="A424" s="4"/>
      <c r="B424" s="21">
        <v>44210</v>
      </c>
      <c r="C424" s="5">
        <f t="shared" si="12"/>
        <v>3</v>
      </c>
      <c r="D424" s="5">
        <f t="shared" si="13"/>
        <v>5</v>
      </c>
      <c r="E424" s="1" t="s">
        <v>7</v>
      </c>
      <c r="F424" s="1" t="s">
        <v>16</v>
      </c>
      <c r="G424">
        <v>47527</v>
      </c>
      <c r="H424">
        <v>100433</v>
      </c>
      <c r="I424" s="4"/>
      <c r="J424" s="22">
        <v>0.34513888888888888</v>
      </c>
      <c r="K424" s="22">
        <v>0.40763888888888888</v>
      </c>
      <c r="L424" s="4"/>
      <c r="M424" s="4"/>
      <c r="N424" t="s">
        <v>1298</v>
      </c>
      <c r="O424" s="4"/>
      <c r="P424" t="s">
        <v>441</v>
      </c>
      <c r="Q424">
        <v>16</v>
      </c>
    </row>
    <row r="425" spans="1:17" ht="14.25" customHeight="1" x14ac:dyDescent="0.25">
      <c r="A425" s="4"/>
      <c r="B425" s="21">
        <v>44210</v>
      </c>
      <c r="C425" s="5">
        <f t="shared" si="12"/>
        <v>3</v>
      </c>
      <c r="D425" s="5">
        <f t="shared" si="13"/>
        <v>5</v>
      </c>
      <c r="E425" s="1" t="s">
        <v>7</v>
      </c>
      <c r="F425" s="1" t="s">
        <v>15</v>
      </c>
      <c r="G425">
        <v>47527</v>
      </c>
      <c r="H425">
        <v>100434</v>
      </c>
      <c r="I425" s="4"/>
      <c r="J425" s="22">
        <v>0.47638888888888892</v>
      </c>
      <c r="K425" s="22">
        <v>2.0833333333333332E-2</v>
      </c>
      <c r="L425" s="4"/>
      <c r="M425" s="4"/>
      <c r="N425" t="s">
        <v>1299</v>
      </c>
      <c r="O425" s="4"/>
      <c r="P425" t="s">
        <v>442</v>
      </c>
      <c r="Q425">
        <v>4</v>
      </c>
    </row>
    <row r="426" spans="1:17" ht="14.25" customHeight="1" x14ac:dyDescent="0.25">
      <c r="A426" s="4"/>
      <c r="B426" s="21">
        <v>44210</v>
      </c>
      <c r="C426" s="5">
        <f t="shared" si="12"/>
        <v>3</v>
      </c>
      <c r="D426" s="5">
        <f t="shared" si="13"/>
        <v>5</v>
      </c>
      <c r="E426" s="1" t="s">
        <v>6</v>
      </c>
      <c r="F426" s="1" t="s">
        <v>13</v>
      </c>
      <c r="G426">
        <v>47528</v>
      </c>
      <c r="H426">
        <v>100439</v>
      </c>
      <c r="I426" s="4"/>
      <c r="J426" s="22">
        <v>0.4861111111111111</v>
      </c>
      <c r="K426" s="22">
        <v>6.8749999999999992E-2</v>
      </c>
      <c r="L426" s="4"/>
      <c r="M426" s="4"/>
      <c r="N426" t="s">
        <v>1300</v>
      </c>
      <c r="O426" s="4"/>
      <c r="P426" t="s">
        <v>443</v>
      </c>
      <c r="Q426">
        <v>29</v>
      </c>
    </row>
    <row r="427" spans="1:17" ht="14.25" customHeight="1" x14ac:dyDescent="0.25">
      <c r="A427" s="4"/>
      <c r="B427" s="21">
        <v>44210</v>
      </c>
      <c r="C427" s="5">
        <f t="shared" si="12"/>
        <v>3</v>
      </c>
      <c r="D427" s="5">
        <f t="shared" si="13"/>
        <v>5</v>
      </c>
      <c r="E427" s="1" t="s">
        <v>6</v>
      </c>
      <c r="F427" s="1" t="s">
        <v>11</v>
      </c>
      <c r="G427">
        <v>47529</v>
      </c>
      <c r="H427">
        <v>100440</v>
      </c>
      <c r="I427" s="4"/>
      <c r="J427" s="22">
        <v>0.48125000000000001</v>
      </c>
      <c r="K427" s="22">
        <v>0.9472222222222223</v>
      </c>
      <c r="L427" s="4"/>
      <c r="M427" s="4"/>
      <c r="N427" t="s">
        <v>1301</v>
      </c>
      <c r="O427" s="4"/>
      <c r="P427" t="s">
        <v>444</v>
      </c>
      <c r="Q427">
        <v>18</v>
      </c>
    </row>
    <row r="428" spans="1:17" ht="14.25" customHeight="1" x14ac:dyDescent="0.25">
      <c r="A428" s="4"/>
      <c r="B428" s="21">
        <v>44210</v>
      </c>
      <c r="C428" s="5">
        <f t="shared" si="12"/>
        <v>3</v>
      </c>
      <c r="D428" s="5">
        <f t="shared" si="13"/>
        <v>5</v>
      </c>
      <c r="E428" s="1" t="s">
        <v>5</v>
      </c>
      <c r="F428" s="1" t="s">
        <v>19</v>
      </c>
      <c r="G428">
        <v>47533</v>
      </c>
      <c r="H428">
        <v>100440</v>
      </c>
      <c r="I428" s="4"/>
      <c r="J428" s="22">
        <v>0.34722222222222227</v>
      </c>
      <c r="K428" s="22">
        <v>0.73402777777777783</v>
      </c>
      <c r="L428" s="4"/>
      <c r="M428" s="4"/>
      <c r="N428" t="s">
        <v>1302</v>
      </c>
      <c r="O428" s="4"/>
      <c r="P428" t="s">
        <v>445</v>
      </c>
      <c r="Q428">
        <v>5</v>
      </c>
    </row>
    <row r="429" spans="1:17" ht="14.25" customHeight="1" x14ac:dyDescent="0.25">
      <c r="A429" s="4"/>
      <c r="B429" s="21">
        <v>44210</v>
      </c>
      <c r="C429" s="5">
        <f t="shared" si="12"/>
        <v>3</v>
      </c>
      <c r="D429" s="5">
        <f t="shared" si="13"/>
        <v>5</v>
      </c>
      <c r="E429" s="1" t="s">
        <v>6</v>
      </c>
      <c r="F429" s="1" t="s">
        <v>12</v>
      </c>
      <c r="G429">
        <v>47533</v>
      </c>
      <c r="H429">
        <v>100442</v>
      </c>
      <c r="I429" s="4"/>
      <c r="J429" s="22">
        <v>0.28125</v>
      </c>
      <c r="K429" s="22">
        <v>0.35694444444444445</v>
      </c>
      <c r="L429" s="4"/>
      <c r="M429" s="4"/>
      <c r="N429" t="s">
        <v>1303</v>
      </c>
      <c r="O429" s="4"/>
      <c r="P429" t="s">
        <v>446</v>
      </c>
      <c r="Q429">
        <v>21</v>
      </c>
    </row>
    <row r="430" spans="1:17" ht="14.25" customHeight="1" x14ac:dyDescent="0.25">
      <c r="A430" s="4"/>
      <c r="B430" s="21">
        <v>44210</v>
      </c>
      <c r="C430" s="5">
        <f t="shared" si="12"/>
        <v>3</v>
      </c>
      <c r="D430" s="5">
        <f t="shared" si="13"/>
        <v>5</v>
      </c>
      <c r="E430" s="1" t="s">
        <v>7</v>
      </c>
      <c r="F430" s="1" t="s">
        <v>14</v>
      </c>
      <c r="G430">
        <v>47533</v>
      </c>
      <c r="H430">
        <v>100442</v>
      </c>
      <c r="I430" s="4"/>
      <c r="J430" s="22">
        <v>0.43263888888888885</v>
      </c>
      <c r="K430" s="22">
        <v>0.81458333333333333</v>
      </c>
      <c r="L430" s="4"/>
      <c r="M430" s="4"/>
      <c r="N430" t="s">
        <v>1304</v>
      </c>
      <c r="O430" s="4"/>
      <c r="P430" t="s">
        <v>447</v>
      </c>
      <c r="Q430">
        <v>4</v>
      </c>
    </row>
    <row r="431" spans="1:17" ht="14.25" customHeight="1" x14ac:dyDescent="0.25">
      <c r="A431" s="4"/>
      <c r="B431" s="21">
        <v>44210</v>
      </c>
      <c r="C431" s="5">
        <f t="shared" si="12"/>
        <v>3</v>
      </c>
      <c r="D431" s="5">
        <f t="shared" si="13"/>
        <v>5</v>
      </c>
      <c r="E431" s="1" t="s">
        <v>5</v>
      </c>
      <c r="F431" s="1" t="s">
        <v>18</v>
      </c>
      <c r="G431">
        <v>47534</v>
      </c>
      <c r="H431">
        <v>100442</v>
      </c>
      <c r="I431" s="4"/>
      <c r="J431" s="22">
        <v>0.40138888888888885</v>
      </c>
      <c r="K431" s="22">
        <v>0.35625000000000001</v>
      </c>
      <c r="L431" s="4"/>
      <c r="M431" s="4"/>
      <c r="N431" t="s">
        <v>1305</v>
      </c>
      <c r="O431" s="4"/>
      <c r="P431" t="s">
        <v>448</v>
      </c>
      <c r="Q431">
        <v>2</v>
      </c>
    </row>
    <row r="432" spans="1:17" ht="14.25" customHeight="1" x14ac:dyDescent="0.25">
      <c r="A432" s="4"/>
      <c r="B432" s="21">
        <v>44210</v>
      </c>
      <c r="C432" s="5">
        <f t="shared" si="12"/>
        <v>3</v>
      </c>
      <c r="D432" s="5">
        <f t="shared" si="13"/>
        <v>5</v>
      </c>
      <c r="E432" s="1" t="s">
        <v>7</v>
      </c>
      <c r="F432" s="1" t="s">
        <v>15</v>
      </c>
      <c r="G432">
        <v>47534</v>
      </c>
      <c r="H432">
        <v>100444</v>
      </c>
      <c r="I432" s="4"/>
      <c r="J432" s="22">
        <v>0.4055555555555555</v>
      </c>
      <c r="K432" s="22">
        <v>0.62638888888888888</v>
      </c>
      <c r="L432" s="4"/>
      <c r="M432" s="4"/>
      <c r="N432" t="s">
        <v>1306</v>
      </c>
      <c r="O432" s="4"/>
      <c r="P432" t="s">
        <v>449</v>
      </c>
      <c r="Q432">
        <v>12</v>
      </c>
    </row>
    <row r="433" spans="1:17" ht="14.25" customHeight="1" x14ac:dyDescent="0.25">
      <c r="A433" s="4"/>
      <c r="B433" s="21">
        <v>44210</v>
      </c>
      <c r="C433" s="5">
        <f t="shared" si="12"/>
        <v>3</v>
      </c>
      <c r="D433" s="5">
        <f t="shared" si="13"/>
        <v>5</v>
      </c>
      <c r="E433" s="1" t="s">
        <v>6</v>
      </c>
      <c r="F433" s="1" t="s">
        <v>13</v>
      </c>
      <c r="G433">
        <v>47538</v>
      </c>
      <c r="H433">
        <v>100445</v>
      </c>
      <c r="I433" s="4"/>
      <c r="J433" s="22">
        <v>0.30763888888888891</v>
      </c>
      <c r="K433" s="22">
        <v>0.75069444444444444</v>
      </c>
      <c r="L433" s="4"/>
      <c r="M433" s="4"/>
      <c r="N433" t="s">
        <v>1307</v>
      </c>
      <c r="O433" s="4"/>
      <c r="P433" t="s">
        <v>211</v>
      </c>
      <c r="Q433">
        <v>4</v>
      </c>
    </row>
    <row r="434" spans="1:17" ht="14.25" customHeight="1" x14ac:dyDescent="0.25">
      <c r="A434" s="4"/>
      <c r="B434" s="21">
        <v>44210</v>
      </c>
      <c r="C434" s="5">
        <f t="shared" si="12"/>
        <v>3</v>
      </c>
      <c r="D434" s="5">
        <f t="shared" si="13"/>
        <v>5</v>
      </c>
      <c r="E434" s="1" t="s">
        <v>7</v>
      </c>
      <c r="F434" s="1" t="s">
        <v>14</v>
      </c>
      <c r="G434">
        <v>47540</v>
      </c>
      <c r="H434">
        <v>100446</v>
      </c>
      <c r="I434" s="4"/>
      <c r="J434" s="22">
        <v>0.42083333333333334</v>
      </c>
      <c r="K434" s="22">
        <v>0.4152777777777778</v>
      </c>
      <c r="L434" s="4"/>
      <c r="M434" s="4"/>
      <c r="N434" t="s">
        <v>1308</v>
      </c>
      <c r="O434" s="4"/>
      <c r="P434" t="s">
        <v>450</v>
      </c>
      <c r="Q434">
        <v>7</v>
      </c>
    </row>
    <row r="435" spans="1:17" ht="14.25" customHeight="1" x14ac:dyDescent="0.25">
      <c r="A435" s="4"/>
      <c r="B435" s="21">
        <v>44210</v>
      </c>
      <c r="C435" s="5">
        <f t="shared" si="12"/>
        <v>3</v>
      </c>
      <c r="D435" s="5">
        <f t="shared" si="13"/>
        <v>5</v>
      </c>
      <c r="E435" s="1" t="s">
        <v>5</v>
      </c>
      <c r="F435" s="1" t="s">
        <v>19</v>
      </c>
      <c r="G435">
        <v>47541</v>
      </c>
      <c r="H435">
        <v>100448</v>
      </c>
      <c r="I435" s="4"/>
      <c r="J435" s="22">
        <v>0.29166666666666669</v>
      </c>
      <c r="K435" s="22">
        <v>0.6777777777777777</v>
      </c>
      <c r="L435" s="4"/>
      <c r="M435" s="4"/>
      <c r="N435" t="s">
        <v>1309</v>
      </c>
      <c r="O435" s="4"/>
      <c r="P435" t="s">
        <v>451</v>
      </c>
      <c r="Q435">
        <v>16</v>
      </c>
    </row>
    <row r="436" spans="1:17" ht="14.25" customHeight="1" x14ac:dyDescent="0.25">
      <c r="A436" s="4"/>
      <c r="B436" s="21">
        <v>44210</v>
      </c>
      <c r="C436" s="5">
        <f t="shared" si="12"/>
        <v>3</v>
      </c>
      <c r="D436" s="5">
        <f t="shared" si="13"/>
        <v>5</v>
      </c>
      <c r="E436" s="1" t="s">
        <v>6</v>
      </c>
      <c r="F436" s="1" t="s">
        <v>13</v>
      </c>
      <c r="G436">
        <v>47542</v>
      </c>
      <c r="H436">
        <v>100449</v>
      </c>
      <c r="I436" s="4"/>
      <c r="J436" s="22">
        <v>0.32013888888888892</v>
      </c>
      <c r="K436" s="22">
        <v>0.40347222222222223</v>
      </c>
      <c r="L436" s="4"/>
      <c r="M436" s="4"/>
      <c r="N436" t="s">
        <v>1310</v>
      </c>
      <c r="O436" s="4"/>
      <c r="P436" t="s">
        <v>452</v>
      </c>
      <c r="Q436">
        <v>26</v>
      </c>
    </row>
    <row r="437" spans="1:17" ht="14.25" customHeight="1" x14ac:dyDescent="0.25">
      <c r="A437" s="4"/>
      <c r="B437" s="21">
        <v>44210</v>
      </c>
      <c r="C437" s="5">
        <f t="shared" si="12"/>
        <v>3</v>
      </c>
      <c r="D437" s="5">
        <f t="shared" si="13"/>
        <v>5</v>
      </c>
      <c r="E437" s="1" t="s">
        <v>6</v>
      </c>
      <c r="F437" s="1" t="s">
        <v>13</v>
      </c>
      <c r="G437">
        <v>47543</v>
      </c>
      <c r="H437">
        <v>100449</v>
      </c>
      <c r="I437" s="4"/>
      <c r="J437" s="22">
        <v>0.40138888888888885</v>
      </c>
      <c r="K437" s="22">
        <v>0.89513888888888893</v>
      </c>
      <c r="L437" s="4"/>
      <c r="M437" s="4"/>
      <c r="N437" t="s">
        <v>1311</v>
      </c>
      <c r="O437" s="4"/>
      <c r="P437" t="s">
        <v>453</v>
      </c>
      <c r="Q437">
        <v>33</v>
      </c>
    </row>
    <row r="438" spans="1:17" ht="14.25" customHeight="1" x14ac:dyDescent="0.25">
      <c r="A438" s="4"/>
      <c r="B438" s="21">
        <v>44211</v>
      </c>
      <c r="C438" s="5">
        <f t="shared" si="12"/>
        <v>3</v>
      </c>
      <c r="D438" s="5">
        <f t="shared" si="13"/>
        <v>6</v>
      </c>
      <c r="E438" s="1" t="s">
        <v>7</v>
      </c>
      <c r="F438" s="1" t="s">
        <v>16</v>
      </c>
      <c r="G438">
        <v>47545</v>
      </c>
      <c r="H438">
        <v>100450</v>
      </c>
      <c r="I438" s="4"/>
      <c r="J438" s="22">
        <v>0.38125000000000003</v>
      </c>
      <c r="K438" s="22">
        <v>0.77708333333333324</v>
      </c>
      <c r="L438" s="4"/>
      <c r="M438" s="4"/>
      <c r="N438" t="s">
        <v>1312</v>
      </c>
      <c r="O438" s="4"/>
      <c r="P438" t="s">
        <v>454</v>
      </c>
      <c r="Q438">
        <v>23</v>
      </c>
    </row>
    <row r="439" spans="1:17" ht="14.25" customHeight="1" x14ac:dyDescent="0.25">
      <c r="A439" s="4"/>
      <c r="B439" s="21">
        <v>44211</v>
      </c>
      <c r="C439" s="5">
        <f t="shared" si="12"/>
        <v>3</v>
      </c>
      <c r="D439" s="5">
        <f t="shared" si="13"/>
        <v>6</v>
      </c>
      <c r="E439" s="1" t="s">
        <v>6</v>
      </c>
      <c r="F439" s="1" t="s">
        <v>12</v>
      </c>
      <c r="G439">
        <v>47545</v>
      </c>
      <c r="H439">
        <v>100450</v>
      </c>
      <c r="I439" s="4"/>
      <c r="J439" s="22">
        <v>0.49374999999999997</v>
      </c>
      <c r="K439" s="22">
        <v>0.26874999999999999</v>
      </c>
      <c r="L439" s="4"/>
      <c r="M439" s="4"/>
      <c r="N439" t="s">
        <v>1313</v>
      </c>
      <c r="O439" s="4"/>
      <c r="P439" t="s">
        <v>117</v>
      </c>
      <c r="Q439">
        <v>17</v>
      </c>
    </row>
    <row r="440" spans="1:17" ht="14.25" customHeight="1" x14ac:dyDescent="0.25">
      <c r="A440" s="4"/>
      <c r="B440" s="21">
        <v>44211</v>
      </c>
      <c r="C440" s="5">
        <f t="shared" si="12"/>
        <v>3</v>
      </c>
      <c r="D440" s="5">
        <f t="shared" si="13"/>
        <v>6</v>
      </c>
      <c r="E440" s="1" t="s">
        <v>5</v>
      </c>
      <c r="F440" s="1" t="s">
        <v>18</v>
      </c>
      <c r="G440">
        <v>47546</v>
      </c>
      <c r="H440">
        <v>100450</v>
      </c>
      <c r="I440" s="4"/>
      <c r="J440" s="22">
        <v>0.3520833333333333</v>
      </c>
      <c r="K440" s="22">
        <v>0.63194444444444442</v>
      </c>
      <c r="L440" s="4"/>
      <c r="M440" s="4"/>
      <c r="N440" t="s">
        <v>1314</v>
      </c>
      <c r="O440" s="4"/>
      <c r="P440" t="s">
        <v>455</v>
      </c>
      <c r="Q440">
        <v>20</v>
      </c>
    </row>
    <row r="441" spans="1:17" ht="14.25" customHeight="1" x14ac:dyDescent="0.25">
      <c r="A441" s="4"/>
      <c r="B441" s="21">
        <v>44211</v>
      </c>
      <c r="C441" s="5">
        <f t="shared" si="12"/>
        <v>3</v>
      </c>
      <c r="D441" s="5">
        <f t="shared" si="13"/>
        <v>6</v>
      </c>
      <c r="E441" s="1" t="s">
        <v>7</v>
      </c>
      <c r="F441" s="1" t="s">
        <v>15</v>
      </c>
      <c r="G441">
        <v>47547</v>
      </c>
      <c r="H441">
        <v>100451</v>
      </c>
      <c r="I441" s="4"/>
      <c r="J441" s="22">
        <v>0.27777777777777779</v>
      </c>
      <c r="K441" s="22">
        <v>0.7368055555555556</v>
      </c>
      <c r="L441" s="4"/>
      <c r="M441" s="4"/>
      <c r="N441" t="s">
        <v>1315</v>
      </c>
      <c r="O441" s="4"/>
      <c r="P441" t="s">
        <v>456</v>
      </c>
      <c r="Q441">
        <v>20</v>
      </c>
    </row>
    <row r="442" spans="1:17" ht="14.25" customHeight="1" x14ac:dyDescent="0.25">
      <c r="A442" s="4"/>
      <c r="B442" s="21">
        <v>44211</v>
      </c>
      <c r="C442" s="5">
        <f t="shared" si="12"/>
        <v>3</v>
      </c>
      <c r="D442" s="5">
        <f t="shared" si="13"/>
        <v>6</v>
      </c>
      <c r="E442" s="1" t="s">
        <v>7</v>
      </c>
      <c r="F442" s="1" t="s">
        <v>16</v>
      </c>
      <c r="G442">
        <v>47549</v>
      </c>
      <c r="H442">
        <v>100453</v>
      </c>
      <c r="I442" s="4"/>
      <c r="J442" s="22">
        <v>0.37013888888888885</v>
      </c>
      <c r="K442" s="22">
        <v>0.76250000000000007</v>
      </c>
      <c r="L442" s="4"/>
      <c r="M442" s="4"/>
      <c r="N442" t="s">
        <v>1316</v>
      </c>
      <c r="O442" s="4"/>
      <c r="P442" t="s">
        <v>457</v>
      </c>
      <c r="Q442">
        <v>27</v>
      </c>
    </row>
    <row r="443" spans="1:17" ht="14.25" customHeight="1" x14ac:dyDescent="0.25">
      <c r="A443" s="4"/>
      <c r="B443" s="21">
        <v>44211</v>
      </c>
      <c r="C443" s="5">
        <f t="shared" si="12"/>
        <v>3</v>
      </c>
      <c r="D443" s="5">
        <f t="shared" si="13"/>
        <v>6</v>
      </c>
      <c r="E443" s="1" t="s">
        <v>6</v>
      </c>
      <c r="F443" s="1" t="s">
        <v>11</v>
      </c>
      <c r="G443">
        <v>47549</v>
      </c>
      <c r="H443">
        <v>100455</v>
      </c>
      <c r="I443" s="4"/>
      <c r="J443" s="22">
        <v>0.3743055555555555</v>
      </c>
      <c r="K443" s="22">
        <v>0.57361111111111118</v>
      </c>
      <c r="L443" s="4"/>
      <c r="M443" s="4"/>
      <c r="N443" t="s">
        <v>1317</v>
      </c>
      <c r="O443" s="4"/>
      <c r="P443" t="s">
        <v>458</v>
      </c>
      <c r="Q443">
        <v>15</v>
      </c>
    </row>
    <row r="444" spans="1:17" ht="14.25" customHeight="1" x14ac:dyDescent="0.25">
      <c r="A444" s="4"/>
      <c r="B444" s="21">
        <v>44211</v>
      </c>
      <c r="C444" s="5">
        <f t="shared" si="12"/>
        <v>3</v>
      </c>
      <c r="D444" s="5">
        <f t="shared" si="13"/>
        <v>6</v>
      </c>
      <c r="E444" s="1" t="s">
        <v>6</v>
      </c>
      <c r="F444" s="1" t="s">
        <v>11</v>
      </c>
      <c r="G444">
        <v>47551</v>
      </c>
      <c r="H444">
        <v>100458</v>
      </c>
      <c r="I444" s="4"/>
      <c r="J444" s="22">
        <v>0.48402777777777778</v>
      </c>
      <c r="K444" s="22">
        <v>0.60902777777777783</v>
      </c>
      <c r="L444" s="4"/>
      <c r="M444" s="4"/>
      <c r="N444" t="s">
        <v>1318</v>
      </c>
      <c r="O444" s="4"/>
      <c r="P444" t="s">
        <v>459</v>
      </c>
      <c r="Q444">
        <v>1</v>
      </c>
    </row>
    <row r="445" spans="1:17" ht="14.25" customHeight="1" x14ac:dyDescent="0.25">
      <c r="A445" s="4"/>
      <c r="B445" s="21">
        <v>44211</v>
      </c>
      <c r="C445" s="5">
        <f t="shared" si="12"/>
        <v>3</v>
      </c>
      <c r="D445" s="5">
        <f t="shared" si="13"/>
        <v>6</v>
      </c>
      <c r="E445" s="1" t="s">
        <v>7</v>
      </c>
      <c r="F445" s="1" t="s">
        <v>15</v>
      </c>
      <c r="G445">
        <v>47552</v>
      </c>
      <c r="H445">
        <v>100459</v>
      </c>
      <c r="I445" s="4"/>
      <c r="J445" s="22">
        <v>0.31388888888888888</v>
      </c>
      <c r="K445" s="22">
        <v>0.39652777777777781</v>
      </c>
      <c r="L445" s="4"/>
      <c r="M445" s="4"/>
      <c r="N445" t="s">
        <v>1319</v>
      </c>
      <c r="O445" s="4"/>
      <c r="P445" t="s">
        <v>460</v>
      </c>
      <c r="Q445">
        <v>15</v>
      </c>
    </row>
    <row r="446" spans="1:17" ht="14.25" customHeight="1" x14ac:dyDescent="0.25">
      <c r="A446" s="4"/>
      <c r="B446" s="21">
        <v>44211</v>
      </c>
      <c r="C446" s="5">
        <f t="shared" si="12"/>
        <v>3</v>
      </c>
      <c r="D446" s="5">
        <f t="shared" si="13"/>
        <v>6</v>
      </c>
      <c r="E446" s="1" t="s">
        <v>5</v>
      </c>
      <c r="F446" s="1" t="s">
        <v>19</v>
      </c>
      <c r="G446">
        <v>47553</v>
      </c>
      <c r="H446">
        <v>100459</v>
      </c>
      <c r="I446" s="4"/>
      <c r="J446" s="22">
        <v>0.40138888888888885</v>
      </c>
      <c r="K446" s="22">
        <v>0.4201388888888889</v>
      </c>
      <c r="L446" s="4"/>
      <c r="M446" s="4"/>
      <c r="N446" t="s">
        <v>1320</v>
      </c>
      <c r="O446" s="4"/>
      <c r="P446" t="s">
        <v>461</v>
      </c>
      <c r="Q446">
        <v>17</v>
      </c>
    </row>
    <row r="447" spans="1:17" ht="14.25" customHeight="1" x14ac:dyDescent="0.25">
      <c r="A447" s="4"/>
      <c r="B447" s="21">
        <v>44211</v>
      </c>
      <c r="C447" s="5">
        <f t="shared" si="12"/>
        <v>3</v>
      </c>
      <c r="D447" s="5">
        <f t="shared" si="13"/>
        <v>6</v>
      </c>
      <c r="E447" s="1" t="s">
        <v>6</v>
      </c>
      <c r="F447" s="1" t="s">
        <v>13</v>
      </c>
      <c r="G447">
        <v>47554</v>
      </c>
      <c r="H447">
        <v>100460</v>
      </c>
      <c r="I447" s="4"/>
      <c r="J447" s="22">
        <v>0.29791666666666666</v>
      </c>
      <c r="K447" s="22">
        <v>0.65486111111111112</v>
      </c>
      <c r="L447" s="4"/>
      <c r="M447" s="4"/>
      <c r="N447" t="s">
        <v>1321</v>
      </c>
      <c r="O447" s="4"/>
      <c r="P447" t="s">
        <v>462</v>
      </c>
      <c r="Q447">
        <v>12</v>
      </c>
    </row>
    <row r="448" spans="1:17" ht="14.25" customHeight="1" x14ac:dyDescent="0.25">
      <c r="A448" s="4"/>
      <c r="B448" s="21">
        <v>44211</v>
      </c>
      <c r="C448" s="5">
        <f t="shared" si="12"/>
        <v>3</v>
      </c>
      <c r="D448" s="5">
        <f t="shared" si="13"/>
        <v>6</v>
      </c>
      <c r="E448" s="1" t="s">
        <v>5</v>
      </c>
      <c r="F448" s="1" t="s">
        <v>18</v>
      </c>
      <c r="G448">
        <v>47556</v>
      </c>
      <c r="H448">
        <v>100462</v>
      </c>
      <c r="I448" s="4"/>
      <c r="J448" s="22">
        <v>0.48055555555555557</v>
      </c>
      <c r="K448" s="22">
        <v>0.86249999999999993</v>
      </c>
      <c r="L448" s="4"/>
      <c r="M448" s="4"/>
      <c r="N448" t="s">
        <v>1322</v>
      </c>
      <c r="O448" s="4"/>
      <c r="P448" t="s">
        <v>463</v>
      </c>
      <c r="Q448">
        <v>18</v>
      </c>
    </row>
    <row r="449" spans="1:17" ht="14.25" customHeight="1" x14ac:dyDescent="0.25">
      <c r="A449" s="4"/>
      <c r="B449" s="21">
        <v>44211</v>
      </c>
      <c r="C449" s="5">
        <f t="shared" si="12"/>
        <v>3</v>
      </c>
      <c r="D449" s="5">
        <f t="shared" si="13"/>
        <v>6</v>
      </c>
      <c r="E449" s="1" t="s">
        <v>5</v>
      </c>
      <c r="F449" s="1" t="s">
        <v>19</v>
      </c>
      <c r="G449">
        <v>47557</v>
      </c>
      <c r="H449">
        <v>100463</v>
      </c>
      <c r="I449" s="4"/>
      <c r="J449" s="22">
        <v>0.33124999999999999</v>
      </c>
      <c r="K449" s="22">
        <v>0.66249999999999998</v>
      </c>
      <c r="L449" s="4"/>
      <c r="M449" s="4"/>
      <c r="N449" t="s">
        <v>1323</v>
      </c>
      <c r="O449" s="4"/>
      <c r="P449" t="s">
        <v>464</v>
      </c>
      <c r="Q449">
        <v>27</v>
      </c>
    </row>
    <row r="450" spans="1:17" ht="14.25" customHeight="1" x14ac:dyDescent="0.25">
      <c r="A450" s="4"/>
      <c r="B450" s="21">
        <v>44211</v>
      </c>
      <c r="C450" s="5">
        <f t="shared" si="12"/>
        <v>3</v>
      </c>
      <c r="D450" s="5">
        <f t="shared" si="13"/>
        <v>6</v>
      </c>
      <c r="E450" s="1" t="s">
        <v>5</v>
      </c>
      <c r="F450" s="1" t="s">
        <v>20</v>
      </c>
      <c r="G450">
        <v>47558</v>
      </c>
      <c r="H450">
        <v>100464</v>
      </c>
      <c r="I450" s="4"/>
      <c r="J450" s="22">
        <v>0.3611111111111111</v>
      </c>
      <c r="K450" s="22">
        <v>0.94513888888888886</v>
      </c>
      <c r="L450" s="4"/>
      <c r="M450" s="4"/>
      <c r="N450" t="s">
        <v>1324</v>
      </c>
      <c r="O450" s="4"/>
      <c r="P450" t="s">
        <v>465</v>
      </c>
      <c r="Q450">
        <v>4</v>
      </c>
    </row>
    <row r="451" spans="1:17" ht="14.25" customHeight="1" x14ac:dyDescent="0.25">
      <c r="A451" s="4"/>
      <c r="B451" s="21">
        <v>44211</v>
      </c>
      <c r="C451" s="5">
        <f t="shared" ref="C451:C514" si="14">WEEKNUM(B451)</f>
        <v>3</v>
      </c>
      <c r="D451" s="5">
        <f t="shared" ref="D451:D514" si="15">WEEKDAY(B451)</f>
        <v>6</v>
      </c>
      <c r="E451" s="1" t="s">
        <v>6</v>
      </c>
      <c r="F451" s="1" t="s">
        <v>13</v>
      </c>
      <c r="G451">
        <v>47559</v>
      </c>
      <c r="H451">
        <v>100465</v>
      </c>
      <c r="I451" s="4"/>
      <c r="J451" s="22">
        <v>0.40902777777777777</v>
      </c>
      <c r="K451" s="22">
        <v>0.87847222222222221</v>
      </c>
      <c r="L451" s="4"/>
      <c r="M451" s="4"/>
      <c r="N451" t="s">
        <v>1325</v>
      </c>
      <c r="O451" s="4"/>
      <c r="P451" t="s">
        <v>466</v>
      </c>
      <c r="Q451">
        <v>27</v>
      </c>
    </row>
    <row r="452" spans="1:17" ht="14.25" customHeight="1" x14ac:dyDescent="0.25">
      <c r="A452" s="4"/>
      <c r="B452" s="21">
        <v>44211</v>
      </c>
      <c r="C452" s="5">
        <f t="shared" si="14"/>
        <v>3</v>
      </c>
      <c r="D452" s="5">
        <f t="shared" si="15"/>
        <v>6</v>
      </c>
      <c r="E452" s="1" t="s">
        <v>7</v>
      </c>
      <c r="F452" s="1" t="s">
        <v>14</v>
      </c>
      <c r="G452">
        <v>47559</v>
      </c>
      <c r="H452">
        <v>100465</v>
      </c>
      <c r="I452" s="4"/>
      <c r="J452" s="22">
        <v>0.37083333333333335</v>
      </c>
      <c r="K452" s="22">
        <v>0.78125</v>
      </c>
      <c r="L452" s="4"/>
      <c r="M452" s="4"/>
      <c r="N452" t="s">
        <v>1326</v>
      </c>
      <c r="O452" s="4"/>
      <c r="P452" t="s">
        <v>467</v>
      </c>
      <c r="Q452">
        <v>33</v>
      </c>
    </row>
    <row r="453" spans="1:17" ht="14.25" customHeight="1" x14ac:dyDescent="0.25">
      <c r="A453" s="4"/>
      <c r="B453" s="21">
        <v>44211</v>
      </c>
      <c r="C453" s="5">
        <f t="shared" si="14"/>
        <v>3</v>
      </c>
      <c r="D453" s="5">
        <f t="shared" si="15"/>
        <v>6</v>
      </c>
      <c r="E453" s="1" t="s">
        <v>5</v>
      </c>
      <c r="F453" s="1" t="s">
        <v>19</v>
      </c>
      <c r="G453">
        <v>47560</v>
      </c>
      <c r="H453">
        <v>100466</v>
      </c>
      <c r="I453" s="4"/>
      <c r="J453" s="22">
        <v>0.30069444444444443</v>
      </c>
      <c r="K453" s="22">
        <v>0.14444444444444446</v>
      </c>
      <c r="L453" s="4"/>
      <c r="M453" s="4"/>
      <c r="N453" t="s">
        <v>1327</v>
      </c>
      <c r="O453" s="4"/>
      <c r="P453" t="s">
        <v>468</v>
      </c>
      <c r="Q453">
        <v>4</v>
      </c>
    </row>
    <row r="454" spans="1:17" ht="14.25" customHeight="1" x14ac:dyDescent="0.25">
      <c r="A454" s="4"/>
      <c r="B454" s="21">
        <v>44211</v>
      </c>
      <c r="C454" s="5">
        <f t="shared" si="14"/>
        <v>3</v>
      </c>
      <c r="D454" s="5">
        <f t="shared" si="15"/>
        <v>6</v>
      </c>
      <c r="E454" s="1" t="s">
        <v>7</v>
      </c>
      <c r="F454" s="1" t="s">
        <v>15</v>
      </c>
      <c r="G454">
        <v>47560</v>
      </c>
      <c r="H454">
        <v>100466</v>
      </c>
      <c r="I454" s="4"/>
      <c r="J454" s="22">
        <v>0.29791666666666666</v>
      </c>
      <c r="K454" s="22">
        <v>0.50277777777777777</v>
      </c>
      <c r="L454" s="4"/>
      <c r="M454" s="4"/>
      <c r="N454" t="s">
        <v>1328</v>
      </c>
      <c r="O454" s="4"/>
      <c r="P454" t="s">
        <v>469</v>
      </c>
      <c r="Q454">
        <v>16</v>
      </c>
    </row>
    <row r="455" spans="1:17" ht="14.25" customHeight="1" x14ac:dyDescent="0.25">
      <c r="A455" s="4"/>
      <c r="B455" s="21">
        <v>44211</v>
      </c>
      <c r="C455" s="5">
        <f t="shared" si="14"/>
        <v>3</v>
      </c>
      <c r="D455" s="5">
        <f t="shared" si="15"/>
        <v>6</v>
      </c>
      <c r="E455" s="1" t="s">
        <v>7</v>
      </c>
      <c r="F455" s="1" t="s">
        <v>14</v>
      </c>
      <c r="G455">
        <v>47560</v>
      </c>
      <c r="H455">
        <v>100468</v>
      </c>
      <c r="I455" s="4"/>
      <c r="J455" s="22">
        <v>0.27638888888888885</v>
      </c>
      <c r="K455" s="22">
        <v>2.4999999999999998E-2</v>
      </c>
      <c r="L455" s="4"/>
      <c r="M455" s="4"/>
      <c r="N455" t="s">
        <v>1329</v>
      </c>
      <c r="O455" s="4"/>
      <c r="P455" t="s">
        <v>470</v>
      </c>
      <c r="Q455">
        <v>14</v>
      </c>
    </row>
    <row r="456" spans="1:17" ht="14.25" customHeight="1" x14ac:dyDescent="0.25">
      <c r="A456" s="4"/>
      <c r="B456" s="21">
        <v>44211</v>
      </c>
      <c r="C456" s="5">
        <f t="shared" si="14"/>
        <v>3</v>
      </c>
      <c r="D456" s="5">
        <f t="shared" si="15"/>
        <v>6</v>
      </c>
      <c r="E456" s="1" t="s">
        <v>7</v>
      </c>
      <c r="F456" s="1" t="s">
        <v>14</v>
      </c>
      <c r="G456">
        <v>47560</v>
      </c>
      <c r="H456">
        <v>100468</v>
      </c>
      <c r="I456" s="4"/>
      <c r="J456" s="22">
        <v>0.38611111111111113</v>
      </c>
      <c r="K456" s="22">
        <v>0.26874999999999999</v>
      </c>
      <c r="L456" s="4"/>
      <c r="M456" s="4"/>
      <c r="N456" t="s">
        <v>1330</v>
      </c>
      <c r="O456" s="4"/>
      <c r="P456" t="s">
        <v>218</v>
      </c>
      <c r="Q456">
        <v>12</v>
      </c>
    </row>
    <row r="457" spans="1:17" ht="14.25" customHeight="1" x14ac:dyDescent="0.25">
      <c r="A457" s="4"/>
      <c r="B457" s="21">
        <v>44211</v>
      </c>
      <c r="C457" s="5">
        <f t="shared" si="14"/>
        <v>3</v>
      </c>
      <c r="D457" s="5">
        <f t="shared" si="15"/>
        <v>6</v>
      </c>
      <c r="E457" s="1" t="s">
        <v>7</v>
      </c>
      <c r="F457" s="1" t="s">
        <v>14</v>
      </c>
      <c r="G457">
        <v>47560</v>
      </c>
      <c r="H457">
        <v>100470</v>
      </c>
      <c r="I457" s="4"/>
      <c r="J457" s="22">
        <v>0.30138888888888887</v>
      </c>
      <c r="K457" s="22">
        <v>0.46249999999999997</v>
      </c>
      <c r="L457" s="4"/>
      <c r="M457" s="4"/>
      <c r="N457" t="s">
        <v>1331</v>
      </c>
      <c r="O457" s="4"/>
      <c r="P457" t="s">
        <v>471</v>
      </c>
      <c r="Q457">
        <v>27</v>
      </c>
    </row>
    <row r="458" spans="1:17" ht="14.25" customHeight="1" x14ac:dyDescent="0.25">
      <c r="A458" s="4"/>
      <c r="B458" s="21">
        <v>44211</v>
      </c>
      <c r="C458" s="5">
        <f t="shared" si="14"/>
        <v>3</v>
      </c>
      <c r="D458" s="5">
        <f t="shared" si="15"/>
        <v>6</v>
      </c>
      <c r="E458" s="1" t="s">
        <v>6</v>
      </c>
      <c r="F458" s="1" t="s">
        <v>11</v>
      </c>
      <c r="G458">
        <v>47561</v>
      </c>
      <c r="H458">
        <v>100471</v>
      </c>
      <c r="I458" s="4"/>
      <c r="J458" s="22">
        <v>0.40763888888888888</v>
      </c>
      <c r="K458" s="22">
        <v>0.42986111111111108</v>
      </c>
      <c r="L458" s="4"/>
      <c r="M458" s="4"/>
      <c r="N458" t="s">
        <v>1332</v>
      </c>
      <c r="O458" s="4"/>
      <c r="P458" t="s">
        <v>472</v>
      </c>
      <c r="Q458">
        <v>17</v>
      </c>
    </row>
    <row r="459" spans="1:17" ht="14.25" customHeight="1" x14ac:dyDescent="0.25">
      <c r="A459" s="4"/>
      <c r="B459" s="21">
        <v>44211</v>
      </c>
      <c r="C459" s="5">
        <f t="shared" si="14"/>
        <v>3</v>
      </c>
      <c r="D459" s="5">
        <f t="shared" si="15"/>
        <v>6</v>
      </c>
      <c r="E459" s="1" t="s">
        <v>5</v>
      </c>
      <c r="F459" s="1" t="s">
        <v>19</v>
      </c>
      <c r="G459">
        <v>47561</v>
      </c>
      <c r="H459">
        <v>100472</v>
      </c>
      <c r="I459" s="4"/>
      <c r="J459" s="22">
        <v>0.46180555555555558</v>
      </c>
      <c r="K459" s="22">
        <v>0.71736111111111101</v>
      </c>
      <c r="L459" s="4"/>
      <c r="M459" s="4"/>
      <c r="N459" t="s">
        <v>1333</v>
      </c>
      <c r="O459" s="4"/>
      <c r="P459" t="s">
        <v>473</v>
      </c>
      <c r="Q459">
        <v>3</v>
      </c>
    </row>
    <row r="460" spans="1:17" ht="14.25" customHeight="1" x14ac:dyDescent="0.25">
      <c r="A460" s="4"/>
      <c r="B460" s="21">
        <v>44211</v>
      </c>
      <c r="C460" s="5">
        <f t="shared" si="14"/>
        <v>3</v>
      </c>
      <c r="D460" s="5">
        <f t="shared" si="15"/>
        <v>6</v>
      </c>
      <c r="E460" s="1" t="s">
        <v>5</v>
      </c>
      <c r="F460" s="1" t="s">
        <v>19</v>
      </c>
      <c r="G460">
        <v>47562</v>
      </c>
      <c r="H460">
        <v>100475</v>
      </c>
      <c r="I460" s="4"/>
      <c r="J460" s="22">
        <v>0.44513888888888892</v>
      </c>
      <c r="K460" s="22">
        <v>0.37291666666666662</v>
      </c>
      <c r="L460" s="4"/>
      <c r="M460" s="4"/>
      <c r="N460" t="s">
        <v>1334</v>
      </c>
      <c r="O460" s="4"/>
      <c r="P460" t="s">
        <v>474</v>
      </c>
      <c r="Q460">
        <v>12</v>
      </c>
    </row>
    <row r="461" spans="1:17" ht="14.25" customHeight="1" x14ac:dyDescent="0.25">
      <c r="A461" s="4"/>
      <c r="B461" s="21">
        <v>44211</v>
      </c>
      <c r="C461" s="5">
        <f t="shared" si="14"/>
        <v>3</v>
      </c>
      <c r="D461" s="5">
        <f t="shared" si="15"/>
        <v>6</v>
      </c>
      <c r="E461" s="1" t="s">
        <v>5</v>
      </c>
      <c r="F461" s="1" t="s">
        <v>19</v>
      </c>
      <c r="G461">
        <v>47563</v>
      </c>
      <c r="H461">
        <v>100476</v>
      </c>
      <c r="I461" s="4"/>
      <c r="J461" s="22">
        <v>0.3</v>
      </c>
      <c r="K461" s="22">
        <v>0.43124999999999997</v>
      </c>
      <c r="L461" s="4"/>
      <c r="M461" s="4"/>
      <c r="N461" t="s">
        <v>1335</v>
      </c>
      <c r="O461" s="4"/>
      <c r="P461" t="s">
        <v>475</v>
      </c>
      <c r="Q461">
        <v>11</v>
      </c>
    </row>
    <row r="462" spans="1:17" ht="14.25" customHeight="1" x14ac:dyDescent="0.25">
      <c r="A462" s="4"/>
      <c r="B462" s="21">
        <v>44211</v>
      </c>
      <c r="C462" s="5">
        <f t="shared" si="14"/>
        <v>3</v>
      </c>
      <c r="D462" s="5">
        <f t="shared" si="15"/>
        <v>6</v>
      </c>
      <c r="E462" s="1" t="s">
        <v>5</v>
      </c>
      <c r="F462" s="1" t="s">
        <v>18</v>
      </c>
      <c r="G462">
        <v>47565</v>
      </c>
      <c r="H462">
        <v>100477</v>
      </c>
      <c r="I462" s="4"/>
      <c r="J462" s="22">
        <v>0.36249999999999999</v>
      </c>
      <c r="K462" s="22">
        <v>0.43194444444444446</v>
      </c>
      <c r="L462" s="4"/>
      <c r="M462" s="4"/>
      <c r="N462" t="s">
        <v>1336</v>
      </c>
      <c r="O462" s="4"/>
      <c r="P462" t="s">
        <v>476</v>
      </c>
      <c r="Q462">
        <v>5</v>
      </c>
    </row>
    <row r="463" spans="1:17" ht="14.25" customHeight="1" x14ac:dyDescent="0.25">
      <c r="A463" s="4"/>
      <c r="B463" s="21">
        <v>44211</v>
      </c>
      <c r="C463" s="5">
        <f t="shared" si="14"/>
        <v>3</v>
      </c>
      <c r="D463" s="5">
        <f t="shared" si="15"/>
        <v>6</v>
      </c>
      <c r="E463" s="1" t="s">
        <v>6</v>
      </c>
      <c r="F463" s="1" t="s">
        <v>12</v>
      </c>
      <c r="G463">
        <v>47565</v>
      </c>
      <c r="H463">
        <v>100477</v>
      </c>
      <c r="I463" s="4"/>
      <c r="J463" s="22">
        <v>0.36319444444444443</v>
      </c>
      <c r="K463" s="22">
        <v>0.14791666666666667</v>
      </c>
      <c r="L463" s="4"/>
      <c r="M463" s="4"/>
      <c r="N463" t="s">
        <v>1337</v>
      </c>
      <c r="O463" s="4"/>
      <c r="P463" t="s">
        <v>477</v>
      </c>
      <c r="Q463">
        <v>11</v>
      </c>
    </row>
    <row r="464" spans="1:17" ht="14.25" customHeight="1" x14ac:dyDescent="0.25">
      <c r="A464" s="4"/>
      <c r="B464" s="21">
        <v>44211</v>
      </c>
      <c r="C464" s="5">
        <f t="shared" si="14"/>
        <v>3</v>
      </c>
      <c r="D464" s="5">
        <f t="shared" si="15"/>
        <v>6</v>
      </c>
      <c r="E464" s="1" t="s">
        <v>7</v>
      </c>
      <c r="F464" s="1" t="s">
        <v>16</v>
      </c>
      <c r="G464">
        <v>47566</v>
      </c>
      <c r="H464">
        <v>100477</v>
      </c>
      <c r="I464" s="4"/>
      <c r="J464" s="22">
        <v>0.25833333333333336</v>
      </c>
      <c r="K464" s="22">
        <v>0.21111111111111111</v>
      </c>
      <c r="L464" s="4"/>
      <c r="M464" s="4"/>
      <c r="N464" t="s">
        <v>1338</v>
      </c>
      <c r="O464" s="4"/>
      <c r="P464" t="s">
        <v>478</v>
      </c>
      <c r="Q464">
        <v>8</v>
      </c>
    </row>
    <row r="465" spans="1:17" ht="14.25" customHeight="1" x14ac:dyDescent="0.25">
      <c r="A465" s="4"/>
      <c r="B465" s="21">
        <v>44211</v>
      </c>
      <c r="C465" s="5">
        <f t="shared" si="14"/>
        <v>3</v>
      </c>
      <c r="D465" s="5">
        <f t="shared" si="15"/>
        <v>6</v>
      </c>
      <c r="E465" s="1" t="s">
        <v>7</v>
      </c>
      <c r="F465" s="1" t="s">
        <v>16</v>
      </c>
      <c r="G465">
        <v>47567</v>
      </c>
      <c r="H465">
        <v>100478</v>
      </c>
      <c r="I465" s="4"/>
      <c r="J465" s="22">
        <v>0.36458333333333331</v>
      </c>
      <c r="K465" s="22">
        <v>0.2902777777777778</v>
      </c>
      <c r="L465" s="4"/>
      <c r="M465" s="4"/>
      <c r="N465" t="s">
        <v>1339</v>
      </c>
      <c r="O465" s="4"/>
      <c r="P465" t="s">
        <v>119</v>
      </c>
      <c r="Q465">
        <v>26</v>
      </c>
    </row>
    <row r="466" spans="1:17" ht="14.25" customHeight="1" x14ac:dyDescent="0.25">
      <c r="A466" s="4"/>
      <c r="B466" s="21">
        <v>44212</v>
      </c>
      <c r="C466" s="5">
        <f t="shared" si="14"/>
        <v>3</v>
      </c>
      <c r="D466" s="5">
        <f t="shared" si="15"/>
        <v>7</v>
      </c>
      <c r="E466" s="1" t="s">
        <v>6</v>
      </c>
      <c r="F466" s="1" t="s">
        <v>11</v>
      </c>
      <c r="G466">
        <v>47568</v>
      </c>
      <c r="H466">
        <v>100479</v>
      </c>
      <c r="I466" s="4"/>
      <c r="J466" s="22">
        <v>0.48055555555555557</v>
      </c>
      <c r="K466" s="22">
        <v>0.8979166666666667</v>
      </c>
      <c r="L466" s="4"/>
      <c r="M466" s="4"/>
      <c r="N466" t="s">
        <v>1340</v>
      </c>
      <c r="O466" s="4"/>
      <c r="P466" t="s">
        <v>479</v>
      </c>
      <c r="Q466">
        <v>20</v>
      </c>
    </row>
    <row r="467" spans="1:17" ht="14.25" customHeight="1" x14ac:dyDescent="0.25">
      <c r="A467" s="4"/>
      <c r="B467" s="21">
        <v>44212</v>
      </c>
      <c r="C467" s="5">
        <f t="shared" si="14"/>
        <v>3</v>
      </c>
      <c r="D467" s="5">
        <f t="shared" si="15"/>
        <v>7</v>
      </c>
      <c r="E467" s="1" t="s">
        <v>7</v>
      </c>
      <c r="F467" s="1" t="s">
        <v>16</v>
      </c>
      <c r="G467">
        <v>47568</v>
      </c>
      <c r="H467">
        <v>100481</v>
      </c>
      <c r="I467" s="4"/>
      <c r="J467" s="22">
        <v>0.43472222222222223</v>
      </c>
      <c r="K467" s="22">
        <v>0.64097222222222217</v>
      </c>
      <c r="L467" s="4"/>
      <c r="M467" s="4"/>
      <c r="N467" t="s">
        <v>1341</v>
      </c>
      <c r="O467" s="4"/>
      <c r="P467" t="s">
        <v>480</v>
      </c>
      <c r="Q467">
        <v>13</v>
      </c>
    </row>
    <row r="468" spans="1:17" ht="14.25" customHeight="1" x14ac:dyDescent="0.25">
      <c r="A468" s="4"/>
      <c r="B468" s="21">
        <v>44212</v>
      </c>
      <c r="C468" s="5">
        <f t="shared" si="14"/>
        <v>3</v>
      </c>
      <c r="D468" s="5">
        <f t="shared" si="15"/>
        <v>7</v>
      </c>
      <c r="E468" s="1" t="s">
        <v>7</v>
      </c>
      <c r="F468" s="1" t="s">
        <v>15</v>
      </c>
      <c r="G468">
        <v>47568</v>
      </c>
      <c r="H468">
        <v>100483</v>
      </c>
      <c r="I468" s="4"/>
      <c r="J468" s="22">
        <v>0.42291666666666666</v>
      </c>
      <c r="K468" s="22">
        <v>0.12569444444444444</v>
      </c>
      <c r="L468" s="4"/>
      <c r="M468" s="4"/>
      <c r="N468" t="s">
        <v>1342</v>
      </c>
      <c r="O468" s="4"/>
      <c r="P468" t="s">
        <v>481</v>
      </c>
      <c r="Q468">
        <v>22</v>
      </c>
    </row>
    <row r="469" spans="1:17" ht="14.25" customHeight="1" x14ac:dyDescent="0.25">
      <c r="A469" s="4"/>
      <c r="B469" s="21">
        <v>44212</v>
      </c>
      <c r="C469" s="5">
        <f t="shared" si="14"/>
        <v>3</v>
      </c>
      <c r="D469" s="5">
        <f t="shared" si="15"/>
        <v>7</v>
      </c>
      <c r="E469" s="1" t="s">
        <v>5</v>
      </c>
      <c r="F469" s="1" t="s">
        <v>19</v>
      </c>
      <c r="G469">
        <v>47569</v>
      </c>
      <c r="H469">
        <v>100483</v>
      </c>
      <c r="I469" s="4"/>
      <c r="J469" s="22">
        <v>0.47430555555555554</v>
      </c>
      <c r="K469" s="22">
        <v>0.26319444444444445</v>
      </c>
      <c r="L469" s="4"/>
      <c r="M469" s="4"/>
      <c r="N469" t="s">
        <v>1343</v>
      </c>
      <c r="O469" s="4"/>
      <c r="P469" t="s">
        <v>482</v>
      </c>
      <c r="Q469">
        <v>10</v>
      </c>
    </row>
    <row r="470" spans="1:17" ht="14.25" customHeight="1" x14ac:dyDescent="0.25">
      <c r="A470" s="4"/>
      <c r="B470" s="21">
        <v>44212</v>
      </c>
      <c r="C470" s="5">
        <f t="shared" si="14"/>
        <v>3</v>
      </c>
      <c r="D470" s="5">
        <f t="shared" si="15"/>
        <v>7</v>
      </c>
      <c r="E470" s="1" t="s">
        <v>6</v>
      </c>
      <c r="F470" s="1" t="s">
        <v>12</v>
      </c>
      <c r="G470">
        <v>47570</v>
      </c>
      <c r="H470">
        <v>100484</v>
      </c>
      <c r="I470" s="4"/>
      <c r="J470" s="22">
        <v>0.36458333333333331</v>
      </c>
      <c r="K470" s="22">
        <v>0.60347222222222219</v>
      </c>
      <c r="L470" s="4"/>
      <c r="M470" s="4"/>
      <c r="N470" t="s">
        <v>1344</v>
      </c>
      <c r="O470" s="4"/>
      <c r="P470" t="s">
        <v>483</v>
      </c>
      <c r="Q470">
        <v>27</v>
      </c>
    </row>
    <row r="471" spans="1:17" ht="14.25" customHeight="1" x14ac:dyDescent="0.25">
      <c r="A471" s="4"/>
      <c r="B471" s="21">
        <v>44212</v>
      </c>
      <c r="C471" s="5">
        <f t="shared" si="14"/>
        <v>3</v>
      </c>
      <c r="D471" s="5">
        <f t="shared" si="15"/>
        <v>7</v>
      </c>
      <c r="E471" s="1" t="s">
        <v>5</v>
      </c>
      <c r="F471" s="1" t="s">
        <v>18</v>
      </c>
      <c r="G471">
        <v>47571</v>
      </c>
      <c r="H471">
        <v>100486</v>
      </c>
      <c r="I471" s="4"/>
      <c r="J471" s="22">
        <v>0.28888888888888892</v>
      </c>
      <c r="K471" s="22">
        <v>0.86597222222222225</v>
      </c>
      <c r="L471" s="4"/>
      <c r="M471" s="4"/>
      <c r="N471" t="s">
        <v>1345</v>
      </c>
      <c r="O471" s="4"/>
      <c r="P471" t="s">
        <v>484</v>
      </c>
      <c r="Q471">
        <v>33</v>
      </c>
    </row>
    <row r="472" spans="1:17" ht="14.25" customHeight="1" x14ac:dyDescent="0.25">
      <c r="A472" s="4"/>
      <c r="B472" s="21">
        <v>44212</v>
      </c>
      <c r="C472" s="5">
        <f t="shared" si="14"/>
        <v>3</v>
      </c>
      <c r="D472" s="5">
        <f t="shared" si="15"/>
        <v>7</v>
      </c>
      <c r="E472" s="1" t="s">
        <v>5</v>
      </c>
      <c r="F472" s="1" t="s">
        <v>17</v>
      </c>
      <c r="G472">
        <v>47574</v>
      </c>
      <c r="H472">
        <v>100488</v>
      </c>
      <c r="I472" s="4"/>
      <c r="J472" s="22">
        <v>0.45416666666666666</v>
      </c>
      <c r="K472" s="22">
        <v>0.76250000000000007</v>
      </c>
      <c r="L472" s="4"/>
      <c r="M472" s="4"/>
      <c r="N472" t="s">
        <v>1346</v>
      </c>
      <c r="O472" s="4"/>
      <c r="P472" t="s">
        <v>485</v>
      </c>
      <c r="Q472">
        <v>11</v>
      </c>
    </row>
    <row r="473" spans="1:17" ht="14.25" customHeight="1" x14ac:dyDescent="0.25">
      <c r="A473" s="4"/>
      <c r="B473" s="21">
        <v>44212</v>
      </c>
      <c r="C473" s="5">
        <f t="shared" si="14"/>
        <v>3</v>
      </c>
      <c r="D473" s="5">
        <f t="shared" si="15"/>
        <v>7</v>
      </c>
      <c r="E473" s="1" t="s">
        <v>7</v>
      </c>
      <c r="F473" s="1" t="s">
        <v>15</v>
      </c>
      <c r="G473">
        <v>47576</v>
      </c>
      <c r="H473">
        <v>100489</v>
      </c>
      <c r="I473" s="4"/>
      <c r="J473" s="22">
        <v>0.4513888888888889</v>
      </c>
      <c r="K473" s="22">
        <v>0.65347222222222223</v>
      </c>
      <c r="L473" s="4"/>
      <c r="M473" s="4"/>
      <c r="N473" t="s">
        <v>1347</v>
      </c>
      <c r="O473" s="4"/>
      <c r="P473" t="s">
        <v>486</v>
      </c>
      <c r="Q473">
        <v>27</v>
      </c>
    </row>
    <row r="474" spans="1:17" ht="14.25" customHeight="1" x14ac:dyDescent="0.25">
      <c r="A474" s="4"/>
      <c r="B474" s="21">
        <v>44212</v>
      </c>
      <c r="C474" s="5">
        <f t="shared" si="14"/>
        <v>3</v>
      </c>
      <c r="D474" s="5">
        <f t="shared" si="15"/>
        <v>7</v>
      </c>
      <c r="E474" s="1" t="s">
        <v>5</v>
      </c>
      <c r="F474" s="1" t="s">
        <v>18</v>
      </c>
      <c r="G474">
        <v>47576</v>
      </c>
      <c r="H474">
        <v>100489</v>
      </c>
      <c r="I474" s="4"/>
      <c r="J474" s="22">
        <v>0.30138888888888887</v>
      </c>
      <c r="K474" s="22">
        <v>0.31597222222222221</v>
      </c>
      <c r="L474" s="4"/>
      <c r="M474" s="4"/>
      <c r="N474" t="s">
        <v>1348</v>
      </c>
      <c r="O474" s="4"/>
      <c r="P474" t="s">
        <v>487</v>
      </c>
      <c r="Q474">
        <v>6</v>
      </c>
    </row>
    <row r="475" spans="1:17" ht="14.25" customHeight="1" x14ac:dyDescent="0.25">
      <c r="A475" s="4"/>
      <c r="B475" s="21">
        <v>44212</v>
      </c>
      <c r="C475" s="5">
        <f t="shared" si="14"/>
        <v>3</v>
      </c>
      <c r="D475" s="5">
        <f t="shared" si="15"/>
        <v>7</v>
      </c>
      <c r="E475" s="1" t="s">
        <v>7</v>
      </c>
      <c r="F475" s="1" t="s">
        <v>14</v>
      </c>
      <c r="G475">
        <v>47576</v>
      </c>
      <c r="H475">
        <v>100490</v>
      </c>
      <c r="I475" s="4"/>
      <c r="J475" s="22">
        <v>0.47152777777777777</v>
      </c>
      <c r="K475" s="22">
        <v>0.11597222222222221</v>
      </c>
      <c r="L475" s="4"/>
      <c r="M475" s="4"/>
      <c r="N475" t="s">
        <v>1349</v>
      </c>
      <c r="O475" s="4"/>
      <c r="P475" t="s">
        <v>488</v>
      </c>
      <c r="Q475">
        <v>7</v>
      </c>
    </row>
    <row r="476" spans="1:17" ht="14.25" customHeight="1" x14ac:dyDescent="0.25">
      <c r="A476" s="4"/>
      <c r="B476" s="21">
        <v>44212</v>
      </c>
      <c r="C476" s="5">
        <f t="shared" si="14"/>
        <v>3</v>
      </c>
      <c r="D476" s="5">
        <f t="shared" si="15"/>
        <v>7</v>
      </c>
      <c r="E476" s="1" t="s">
        <v>6</v>
      </c>
      <c r="F476" s="1" t="s">
        <v>11</v>
      </c>
      <c r="G476">
        <v>47578</v>
      </c>
      <c r="H476">
        <v>100490</v>
      </c>
      <c r="I476" s="4"/>
      <c r="J476" s="22">
        <v>0.33124999999999999</v>
      </c>
      <c r="K476" s="22">
        <v>2.4305555555555556E-2</v>
      </c>
      <c r="L476" s="4"/>
      <c r="M476" s="4"/>
      <c r="N476" t="s">
        <v>1350</v>
      </c>
      <c r="O476" s="4"/>
      <c r="P476" t="s">
        <v>489</v>
      </c>
      <c r="Q476">
        <v>31</v>
      </c>
    </row>
    <row r="477" spans="1:17" ht="14.25" customHeight="1" x14ac:dyDescent="0.25">
      <c r="A477" s="4"/>
      <c r="B477" s="21">
        <v>44212</v>
      </c>
      <c r="C477" s="5">
        <f t="shared" si="14"/>
        <v>3</v>
      </c>
      <c r="D477" s="5">
        <f t="shared" si="15"/>
        <v>7</v>
      </c>
      <c r="E477" s="1" t="s">
        <v>5</v>
      </c>
      <c r="F477" s="1" t="s">
        <v>18</v>
      </c>
      <c r="G477">
        <v>47579</v>
      </c>
      <c r="H477">
        <v>100491</v>
      </c>
      <c r="I477" s="4"/>
      <c r="J477" s="22">
        <v>0.25347222222222221</v>
      </c>
      <c r="K477" s="22">
        <v>0.15069444444444444</v>
      </c>
      <c r="L477" s="4"/>
      <c r="M477" s="4"/>
      <c r="N477" t="s">
        <v>1351</v>
      </c>
      <c r="O477" s="4"/>
      <c r="P477" t="s">
        <v>490</v>
      </c>
      <c r="Q477">
        <v>5</v>
      </c>
    </row>
    <row r="478" spans="1:17" ht="14.25" customHeight="1" x14ac:dyDescent="0.25">
      <c r="A478" s="4"/>
      <c r="B478" s="21">
        <v>44212</v>
      </c>
      <c r="C478" s="5">
        <f t="shared" si="14"/>
        <v>3</v>
      </c>
      <c r="D478" s="5">
        <f t="shared" si="15"/>
        <v>7</v>
      </c>
      <c r="E478" s="1" t="s">
        <v>7</v>
      </c>
      <c r="F478" s="1" t="s">
        <v>14</v>
      </c>
      <c r="G478">
        <v>47580</v>
      </c>
      <c r="H478">
        <v>100492</v>
      </c>
      <c r="I478" s="4"/>
      <c r="J478" s="22">
        <v>0.35000000000000003</v>
      </c>
      <c r="K478" s="22">
        <v>0.60625000000000007</v>
      </c>
      <c r="L478" s="4"/>
      <c r="M478" s="4"/>
      <c r="N478" t="s">
        <v>1352</v>
      </c>
      <c r="O478" s="4"/>
      <c r="P478" t="s">
        <v>491</v>
      </c>
      <c r="Q478">
        <v>18</v>
      </c>
    </row>
    <row r="479" spans="1:17" ht="14.25" customHeight="1" x14ac:dyDescent="0.25">
      <c r="A479" s="4"/>
      <c r="B479" s="21">
        <v>44212</v>
      </c>
      <c r="C479" s="5">
        <f t="shared" si="14"/>
        <v>3</v>
      </c>
      <c r="D479" s="5">
        <f t="shared" si="15"/>
        <v>7</v>
      </c>
      <c r="E479" s="1" t="s">
        <v>5</v>
      </c>
      <c r="F479" s="1" t="s">
        <v>17</v>
      </c>
      <c r="G479">
        <v>47581</v>
      </c>
      <c r="H479">
        <v>100493</v>
      </c>
      <c r="I479" s="4"/>
      <c r="J479" s="22">
        <v>0.25763888888888892</v>
      </c>
      <c r="K479" s="22">
        <v>0.3527777777777778</v>
      </c>
      <c r="L479" s="4"/>
      <c r="M479" s="4"/>
      <c r="N479" t="s">
        <v>1353</v>
      </c>
      <c r="O479" s="4"/>
      <c r="P479" t="s">
        <v>492</v>
      </c>
      <c r="Q479">
        <v>17</v>
      </c>
    </row>
    <row r="480" spans="1:17" ht="14.25" customHeight="1" x14ac:dyDescent="0.25">
      <c r="A480" s="4"/>
      <c r="B480" s="21">
        <v>44212</v>
      </c>
      <c r="C480" s="5">
        <f t="shared" si="14"/>
        <v>3</v>
      </c>
      <c r="D480" s="5">
        <f t="shared" si="15"/>
        <v>7</v>
      </c>
      <c r="E480" s="1" t="s">
        <v>5</v>
      </c>
      <c r="F480" s="1" t="s">
        <v>19</v>
      </c>
      <c r="G480">
        <v>47581</v>
      </c>
      <c r="H480">
        <v>100496</v>
      </c>
      <c r="I480" s="4"/>
      <c r="J480" s="22">
        <v>0.30486111111111108</v>
      </c>
      <c r="K480" s="22">
        <v>0.16666666666666666</v>
      </c>
      <c r="L480" s="4"/>
      <c r="M480" s="4"/>
      <c r="N480" t="s">
        <v>1354</v>
      </c>
      <c r="O480" s="4"/>
      <c r="P480" t="s">
        <v>493</v>
      </c>
      <c r="Q480">
        <v>19</v>
      </c>
    </row>
    <row r="481" spans="1:17" ht="14.25" customHeight="1" x14ac:dyDescent="0.25">
      <c r="A481" s="4"/>
      <c r="B481" s="21">
        <v>44212</v>
      </c>
      <c r="C481" s="5">
        <f t="shared" si="14"/>
        <v>3</v>
      </c>
      <c r="D481" s="5">
        <f t="shared" si="15"/>
        <v>7</v>
      </c>
      <c r="E481" s="1" t="s">
        <v>5</v>
      </c>
      <c r="F481" s="1" t="s">
        <v>19</v>
      </c>
      <c r="G481">
        <v>47582</v>
      </c>
      <c r="H481">
        <v>100498</v>
      </c>
      <c r="I481" s="4"/>
      <c r="J481" s="22">
        <v>0.45902777777777781</v>
      </c>
      <c r="K481" s="22">
        <v>7.2916666666666671E-2</v>
      </c>
      <c r="L481" s="4"/>
      <c r="M481" s="4"/>
      <c r="N481" t="s">
        <v>1355</v>
      </c>
      <c r="O481" s="4"/>
      <c r="P481" t="s">
        <v>494</v>
      </c>
      <c r="Q481">
        <v>19</v>
      </c>
    </row>
    <row r="482" spans="1:17" ht="14.25" customHeight="1" x14ac:dyDescent="0.25">
      <c r="A482" s="4"/>
      <c r="B482" s="21">
        <v>44212</v>
      </c>
      <c r="C482" s="5">
        <f t="shared" si="14"/>
        <v>3</v>
      </c>
      <c r="D482" s="5">
        <f t="shared" si="15"/>
        <v>7</v>
      </c>
      <c r="E482" s="1" t="s">
        <v>5</v>
      </c>
      <c r="F482" s="1" t="s">
        <v>20</v>
      </c>
      <c r="G482">
        <v>47582</v>
      </c>
      <c r="H482">
        <v>100500</v>
      </c>
      <c r="I482" s="4"/>
      <c r="J482" s="22">
        <v>0.46875</v>
      </c>
      <c r="K482" s="22">
        <v>0.60486111111111118</v>
      </c>
      <c r="L482" s="4"/>
      <c r="M482" s="4"/>
      <c r="N482" t="s">
        <v>1356</v>
      </c>
      <c r="O482" s="4"/>
      <c r="P482" t="s">
        <v>394</v>
      </c>
      <c r="Q482">
        <v>11</v>
      </c>
    </row>
    <row r="483" spans="1:17" ht="14.25" customHeight="1" x14ac:dyDescent="0.25">
      <c r="A483" s="4"/>
      <c r="B483" s="21">
        <v>44212</v>
      </c>
      <c r="C483" s="5">
        <f t="shared" si="14"/>
        <v>3</v>
      </c>
      <c r="D483" s="5">
        <f t="shared" si="15"/>
        <v>7</v>
      </c>
      <c r="E483" s="1" t="s">
        <v>6</v>
      </c>
      <c r="F483" s="1" t="s">
        <v>12</v>
      </c>
      <c r="G483">
        <v>47582</v>
      </c>
      <c r="H483">
        <v>100502</v>
      </c>
      <c r="I483" s="4"/>
      <c r="J483" s="22">
        <v>0.41944444444444445</v>
      </c>
      <c r="K483" s="22">
        <v>0.91249999999999998</v>
      </c>
      <c r="L483" s="4"/>
      <c r="M483" s="4"/>
      <c r="N483" t="s">
        <v>1357</v>
      </c>
      <c r="O483" s="4"/>
      <c r="P483" t="s">
        <v>495</v>
      </c>
      <c r="Q483">
        <v>20</v>
      </c>
    </row>
    <row r="484" spans="1:17" ht="14.25" customHeight="1" x14ac:dyDescent="0.25">
      <c r="A484" s="4"/>
      <c r="B484" s="21">
        <v>44212</v>
      </c>
      <c r="C484" s="5">
        <f t="shared" si="14"/>
        <v>3</v>
      </c>
      <c r="D484" s="5">
        <f t="shared" si="15"/>
        <v>7</v>
      </c>
      <c r="E484" s="1" t="s">
        <v>5</v>
      </c>
      <c r="F484" s="1" t="s">
        <v>17</v>
      </c>
      <c r="G484">
        <v>47584</v>
      </c>
      <c r="H484">
        <v>100502</v>
      </c>
      <c r="I484" s="4"/>
      <c r="J484" s="22">
        <v>0.30416666666666664</v>
      </c>
      <c r="K484" s="22">
        <v>0.27361111111111108</v>
      </c>
      <c r="L484" s="4"/>
      <c r="M484" s="4"/>
      <c r="N484" t="s">
        <v>1358</v>
      </c>
      <c r="O484" s="4"/>
      <c r="P484" t="s">
        <v>496</v>
      </c>
      <c r="Q484">
        <v>1</v>
      </c>
    </row>
    <row r="485" spans="1:17" ht="14.25" customHeight="1" x14ac:dyDescent="0.25">
      <c r="A485" s="4"/>
      <c r="B485" s="21">
        <v>44212</v>
      </c>
      <c r="C485" s="5">
        <f t="shared" si="14"/>
        <v>3</v>
      </c>
      <c r="D485" s="5">
        <f t="shared" si="15"/>
        <v>7</v>
      </c>
      <c r="E485" s="1" t="s">
        <v>5</v>
      </c>
      <c r="F485" s="1" t="s">
        <v>17</v>
      </c>
      <c r="G485">
        <v>47584</v>
      </c>
      <c r="H485">
        <v>100503</v>
      </c>
      <c r="I485" s="4"/>
      <c r="J485" s="22">
        <v>0.49513888888888885</v>
      </c>
      <c r="K485" s="22">
        <v>0.28055555555555556</v>
      </c>
      <c r="L485" s="4"/>
      <c r="M485" s="4"/>
      <c r="N485" t="s">
        <v>1359</v>
      </c>
      <c r="O485" s="4"/>
      <c r="P485" t="s">
        <v>497</v>
      </c>
      <c r="Q485">
        <v>7</v>
      </c>
    </row>
    <row r="486" spans="1:17" ht="14.25" customHeight="1" x14ac:dyDescent="0.25">
      <c r="A486" s="4"/>
      <c r="B486" s="21">
        <v>44212</v>
      </c>
      <c r="C486" s="5">
        <f t="shared" si="14"/>
        <v>3</v>
      </c>
      <c r="D486" s="5">
        <f t="shared" si="15"/>
        <v>7</v>
      </c>
      <c r="E486" s="1" t="s">
        <v>6</v>
      </c>
      <c r="F486" s="1" t="s">
        <v>12</v>
      </c>
      <c r="G486">
        <v>47584</v>
      </c>
      <c r="H486">
        <v>100504</v>
      </c>
      <c r="I486" s="4"/>
      <c r="J486" s="22">
        <v>0.39999999999999997</v>
      </c>
      <c r="K486" s="22">
        <v>0.21527777777777779</v>
      </c>
      <c r="L486" s="4"/>
      <c r="M486" s="4"/>
      <c r="N486" t="s">
        <v>1360</v>
      </c>
      <c r="O486" s="4"/>
      <c r="P486" t="s">
        <v>246</v>
      </c>
      <c r="Q486">
        <v>23</v>
      </c>
    </row>
    <row r="487" spans="1:17" ht="14.25" customHeight="1" x14ac:dyDescent="0.25">
      <c r="A487" s="4"/>
      <c r="B487" s="21">
        <v>44212</v>
      </c>
      <c r="C487" s="5">
        <f t="shared" si="14"/>
        <v>3</v>
      </c>
      <c r="D487" s="5">
        <f t="shared" si="15"/>
        <v>7</v>
      </c>
      <c r="E487" s="1" t="s">
        <v>6</v>
      </c>
      <c r="F487" s="1" t="s">
        <v>11</v>
      </c>
      <c r="G487">
        <v>47584</v>
      </c>
      <c r="H487">
        <v>100507</v>
      </c>
      <c r="I487" s="4"/>
      <c r="J487" s="22">
        <v>0.31458333333333333</v>
      </c>
      <c r="K487" s="22">
        <v>0.17291666666666669</v>
      </c>
      <c r="L487" s="4"/>
      <c r="M487" s="4"/>
      <c r="N487" t="s">
        <v>1361</v>
      </c>
      <c r="O487" s="4"/>
      <c r="P487" t="s">
        <v>498</v>
      </c>
      <c r="Q487">
        <v>17</v>
      </c>
    </row>
    <row r="488" spans="1:17" ht="14.25" customHeight="1" x14ac:dyDescent="0.25">
      <c r="A488" s="4"/>
      <c r="B488" s="21">
        <v>44212</v>
      </c>
      <c r="C488" s="5">
        <f t="shared" si="14"/>
        <v>3</v>
      </c>
      <c r="D488" s="5">
        <f t="shared" si="15"/>
        <v>7</v>
      </c>
      <c r="E488" s="1" t="s">
        <v>7</v>
      </c>
      <c r="F488" s="1" t="s">
        <v>16</v>
      </c>
      <c r="G488">
        <v>47584</v>
      </c>
      <c r="H488">
        <v>100507</v>
      </c>
      <c r="I488" s="4"/>
      <c r="J488" s="22">
        <v>0.30624999999999997</v>
      </c>
      <c r="K488" s="22">
        <v>0.2590277777777778</v>
      </c>
      <c r="L488" s="4"/>
      <c r="M488" s="4"/>
      <c r="N488" t="s">
        <v>1362</v>
      </c>
      <c r="O488" s="4"/>
      <c r="P488" t="s">
        <v>382</v>
      </c>
      <c r="Q488">
        <v>2</v>
      </c>
    </row>
    <row r="489" spans="1:17" ht="14.25" customHeight="1" x14ac:dyDescent="0.25">
      <c r="A489" s="4"/>
      <c r="B489" s="21">
        <v>44212</v>
      </c>
      <c r="C489" s="5">
        <f t="shared" si="14"/>
        <v>3</v>
      </c>
      <c r="D489" s="5">
        <f t="shared" si="15"/>
        <v>7</v>
      </c>
      <c r="E489" s="1" t="s">
        <v>7</v>
      </c>
      <c r="F489" s="1" t="s">
        <v>14</v>
      </c>
      <c r="G489">
        <v>47585</v>
      </c>
      <c r="H489">
        <v>100507</v>
      </c>
      <c r="I489" s="4"/>
      <c r="J489" s="22">
        <v>0.46388888888888885</v>
      </c>
      <c r="K489" s="22">
        <v>0.46458333333333335</v>
      </c>
      <c r="L489" s="4"/>
      <c r="M489" s="4"/>
      <c r="N489" t="s">
        <v>1363</v>
      </c>
      <c r="O489" s="4"/>
      <c r="P489" t="s">
        <v>499</v>
      </c>
      <c r="Q489">
        <v>8</v>
      </c>
    </row>
    <row r="490" spans="1:17" ht="14.25" customHeight="1" x14ac:dyDescent="0.25">
      <c r="A490" s="4"/>
      <c r="B490" s="21">
        <v>44212</v>
      </c>
      <c r="C490" s="5">
        <f t="shared" si="14"/>
        <v>3</v>
      </c>
      <c r="D490" s="5">
        <f t="shared" si="15"/>
        <v>7</v>
      </c>
      <c r="E490" s="1" t="s">
        <v>6</v>
      </c>
      <c r="F490" s="1" t="s">
        <v>11</v>
      </c>
      <c r="G490">
        <v>47587</v>
      </c>
      <c r="H490">
        <v>100508</v>
      </c>
      <c r="I490" s="4"/>
      <c r="J490" s="22">
        <v>0.34513888888888888</v>
      </c>
      <c r="K490" s="22">
        <v>0.43402777777777773</v>
      </c>
      <c r="L490" s="4"/>
      <c r="M490" s="4"/>
      <c r="N490" t="s">
        <v>1364</v>
      </c>
      <c r="O490" s="4"/>
      <c r="P490" t="s">
        <v>500</v>
      </c>
      <c r="Q490">
        <v>2</v>
      </c>
    </row>
    <row r="491" spans="1:17" ht="14.25" customHeight="1" x14ac:dyDescent="0.25">
      <c r="A491" s="4"/>
      <c r="B491" s="21">
        <v>44212</v>
      </c>
      <c r="C491" s="5">
        <f t="shared" si="14"/>
        <v>3</v>
      </c>
      <c r="D491" s="5">
        <f t="shared" si="15"/>
        <v>7</v>
      </c>
      <c r="E491" s="1" t="s">
        <v>5</v>
      </c>
      <c r="F491" s="1" t="s">
        <v>17</v>
      </c>
      <c r="G491">
        <v>47588</v>
      </c>
      <c r="H491">
        <v>100508</v>
      </c>
      <c r="I491" s="4"/>
      <c r="J491" s="22">
        <v>0.44236111111111115</v>
      </c>
      <c r="K491" s="22">
        <v>0.69513888888888886</v>
      </c>
      <c r="L491" s="4"/>
      <c r="M491" s="4"/>
      <c r="N491" t="s">
        <v>1365</v>
      </c>
      <c r="O491" s="4"/>
      <c r="P491" t="s">
        <v>501</v>
      </c>
      <c r="Q491">
        <v>5</v>
      </c>
    </row>
    <row r="492" spans="1:17" ht="14.25" customHeight="1" x14ac:dyDescent="0.25">
      <c r="A492" s="4"/>
      <c r="B492" s="21">
        <v>44212</v>
      </c>
      <c r="C492" s="5">
        <f t="shared" si="14"/>
        <v>3</v>
      </c>
      <c r="D492" s="5">
        <f t="shared" si="15"/>
        <v>7</v>
      </c>
      <c r="E492" s="1" t="s">
        <v>5</v>
      </c>
      <c r="F492" s="1" t="s">
        <v>18</v>
      </c>
      <c r="G492">
        <v>47589</v>
      </c>
      <c r="H492">
        <v>100509</v>
      </c>
      <c r="I492" s="4"/>
      <c r="J492" s="22">
        <v>0.31041666666666667</v>
      </c>
      <c r="K492" s="22">
        <v>0.93194444444444446</v>
      </c>
      <c r="L492" s="4"/>
      <c r="M492" s="4"/>
      <c r="N492" t="s">
        <v>1366</v>
      </c>
      <c r="O492" s="4"/>
      <c r="P492" t="s">
        <v>502</v>
      </c>
      <c r="Q492">
        <v>22</v>
      </c>
    </row>
    <row r="493" spans="1:17" ht="14.25" customHeight="1" x14ac:dyDescent="0.25">
      <c r="A493" s="4"/>
      <c r="B493" s="21">
        <v>44212</v>
      </c>
      <c r="C493" s="5">
        <f t="shared" si="14"/>
        <v>3</v>
      </c>
      <c r="D493" s="5">
        <f t="shared" si="15"/>
        <v>7</v>
      </c>
      <c r="E493" s="1" t="s">
        <v>5</v>
      </c>
      <c r="F493" s="1" t="s">
        <v>20</v>
      </c>
      <c r="G493">
        <v>47591</v>
      </c>
      <c r="H493">
        <v>100509</v>
      </c>
      <c r="I493" s="4"/>
      <c r="J493" s="22">
        <v>0.30208333333333331</v>
      </c>
      <c r="K493" s="22">
        <v>0.8569444444444444</v>
      </c>
      <c r="L493" s="4"/>
      <c r="M493" s="4"/>
      <c r="N493" t="s">
        <v>1367</v>
      </c>
      <c r="O493" s="4"/>
      <c r="P493" t="s">
        <v>86</v>
      </c>
      <c r="Q493">
        <v>16</v>
      </c>
    </row>
    <row r="494" spans="1:17" ht="14.25" customHeight="1" x14ac:dyDescent="0.25">
      <c r="A494" s="4"/>
      <c r="B494" s="21">
        <v>44212</v>
      </c>
      <c r="C494" s="5">
        <f t="shared" si="14"/>
        <v>3</v>
      </c>
      <c r="D494" s="5">
        <f t="shared" si="15"/>
        <v>7</v>
      </c>
      <c r="E494" s="1" t="s">
        <v>6</v>
      </c>
      <c r="F494" s="1" t="s">
        <v>11</v>
      </c>
      <c r="G494">
        <v>47591</v>
      </c>
      <c r="H494">
        <v>100509</v>
      </c>
      <c r="I494" s="4"/>
      <c r="J494" s="22">
        <v>0.35625000000000001</v>
      </c>
      <c r="K494" s="22">
        <v>0.59375</v>
      </c>
      <c r="L494" s="4"/>
      <c r="M494" s="4"/>
      <c r="N494" t="s">
        <v>1368</v>
      </c>
      <c r="O494" s="4"/>
      <c r="P494" t="s">
        <v>313</v>
      </c>
      <c r="Q494">
        <v>7</v>
      </c>
    </row>
    <row r="495" spans="1:17" ht="14.25" customHeight="1" x14ac:dyDescent="0.25">
      <c r="A495" s="4"/>
      <c r="B495" s="21">
        <v>44212</v>
      </c>
      <c r="C495" s="5">
        <f t="shared" si="14"/>
        <v>3</v>
      </c>
      <c r="D495" s="5">
        <f t="shared" si="15"/>
        <v>7</v>
      </c>
      <c r="E495" s="1" t="s">
        <v>5</v>
      </c>
      <c r="F495" s="1" t="s">
        <v>19</v>
      </c>
      <c r="G495">
        <v>47591</v>
      </c>
      <c r="H495">
        <v>100512</v>
      </c>
      <c r="I495" s="4"/>
      <c r="J495" s="22">
        <v>0.32430555555555557</v>
      </c>
      <c r="K495" s="22">
        <v>0.67638888888888893</v>
      </c>
      <c r="L495" s="4"/>
      <c r="M495" s="4"/>
      <c r="N495" t="s">
        <v>1369</v>
      </c>
      <c r="O495" s="4"/>
      <c r="P495" t="s">
        <v>503</v>
      </c>
      <c r="Q495">
        <v>33</v>
      </c>
    </row>
    <row r="496" spans="1:17" ht="14.25" customHeight="1" x14ac:dyDescent="0.25">
      <c r="A496" s="4"/>
      <c r="B496" s="21">
        <v>44212</v>
      </c>
      <c r="C496" s="5">
        <f t="shared" si="14"/>
        <v>3</v>
      </c>
      <c r="D496" s="5">
        <f t="shared" si="15"/>
        <v>7</v>
      </c>
      <c r="E496" s="1" t="s">
        <v>5</v>
      </c>
      <c r="F496" s="1" t="s">
        <v>19</v>
      </c>
      <c r="G496">
        <v>47593</v>
      </c>
      <c r="H496">
        <v>100513</v>
      </c>
      <c r="I496" s="4"/>
      <c r="J496" s="22">
        <v>0.48472222222222222</v>
      </c>
      <c r="K496" s="22">
        <v>0.5854166666666667</v>
      </c>
      <c r="L496" s="4"/>
      <c r="M496" s="4"/>
      <c r="N496" t="s">
        <v>1370</v>
      </c>
      <c r="O496" s="4"/>
      <c r="P496" t="s">
        <v>97</v>
      </c>
      <c r="Q496">
        <v>29</v>
      </c>
    </row>
    <row r="497" spans="1:17" ht="14.25" customHeight="1" x14ac:dyDescent="0.25">
      <c r="A497" s="4"/>
      <c r="B497" s="21">
        <v>44212</v>
      </c>
      <c r="C497" s="5">
        <f t="shared" si="14"/>
        <v>3</v>
      </c>
      <c r="D497" s="5">
        <f t="shared" si="15"/>
        <v>7</v>
      </c>
      <c r="E497" s="1" t="s">
        <v>5</v>
      </c>
      <c r="F497" s="1" t="s">
        <v>20</v>
      </c>
      <c r="G497">
        <v>47593</v>
      </c>
      <c r="H497">
        <v>100513</v>
      </c>
      <c r="I497" s="4"/>
      <c r="J497" s="22">
        <v>0.28263888888888888</v>
      </c>
      <c r="K497" s="22">
        <v>0.43541666666666662</v>
      </c>
      <c r="L497" s="4"/>
      <c r="M497" s="4"/>
      <c r="N497" t="s">
        <v>1371</v>
      </c>
      <c r="O497" s="4"/>
      <c r="P497" t="s">
        <v>504</v>
      </c>
      <c r="Q497">
        <v>1</v>
      </c>
    </row>
    <row r="498" spans="1:17" ht="14.25" customHeight="1" x14ac:dyDescent="0.25">
      <c r="A498" s="4"/>
      <c r="B498" s="21">
        <v>44212</v>
      </c>
      <c r="C498" s="5">
        <f t="shared" si="14"/>
        <v>3</v>
      </c>
      <c r="D498" s="5">
        <f t="shared" si="15"/>
        <v>7</v>
      </c>
      <c r="E498" s="1" t="s">
        <v>5</v>
      </c>
      <c r="F498" s="1" t="s">
        <v>17</v>
      </c>
      <c r="G498">
        <v>47593</v>
      </c>
      <c r="H498">
        <v>100514</v>
      </c>
      <c r="I498" s="4"/>
      <c r="J498" s="22">
        <v>0.3520833333333333</v>
      </c>
      <c r="K498" s="22">
        <v>1.3888888888888889E-3</v>
      </c>
      <c r="L498" s="4"/>
      <c r="M498" s="4"/>
      <c r="N498" t="s">
        <v>1372</v>
      </c>
      <c r="O498" s="4"/>
      <c r="P498" t="s">
        <v>505</v>
      </c>
      <c r="Q498">
        <v>23</v>
      </c>
    </row>
    <row r="499" spans="1:17" ht="14.25" customHeight="1" x14ac:dyDescent="0.25">
      <c r="A499" s="4"/>
      <c r="B499" s="21">
        <v>44212</v>
      </c>
      <c r="C499" s="5">
        <f t="shared" si="14"/>
        <v>3</v>
      </c>
      <c r="D499" s="5">
        <f t="shared" si="15"/>
        <v>7</v>
      </c>
      <c r="E499" s="1" t="s">
        <v>7</v>
      </c>
      <c r="F499" s="1" t="s">
        <v>16</v>
      </c>
      <c r="G499">
        <v>47594</v>
      </c>
      <c r="H499">
        <v>100516</v>
      </c>
      <c r="I499" s="4"/>
      <c r="J499" s="22">
        <v>0.26458333333333334</v>
      </c>
      <c r="K499" s="22">
        <v>0.7284722222222223</v>
      </c>
      <c r="L499" s="4"/>
      <c r="M499" s="4"/>
      <c r="N499" t="s">
        <v>1373</v>
      </c>
      <c r="O499" s="4"/>
      <c r="P499" t="s">
        <v>506</v>
      </c>
      <c r="Q499">
        <v>8</v>
      </c>
    </row>
    <row r="500" spans="1:17" ht="14.25" customHeight="1" x14ac:dyDescent="0.25">
      <c r="A500" s="4"/>
      <c r="B500" s="21">
        <v>44212</v>
      </c>
      <c r="C500" s="5">
        <f t="shared" si="14"/>
        <v>3</v>
      </c>
      <c r="D500" s="5">
        <f t="shared" si="15"/>
        <v>7</v>
      </c>
      <c r="E500" s="1" t="s">
        <v>7</v>
      </c>
      <c r="F500" s="1" t="s">
        <v>15</v>
      </c>
      <c r="G500">
        <v>47594</v>
      </c>
      <c r="H500">
        <v>100517</v>
      </c>
      <c r="I500" s="4"/>
      <c r="J500" s="22">
        <v>0.31736111111111115</v>
      </c>
      <c r="K500" s="22">
        <v>0.32083333333333336</v>
      </c>
      <c r="L500" s="4"/>
      <c r="M500" s="4"/>
      <c r="N500" t="s">
        <v>1374</v>
      </c>
      <c r="O500" s="4"/>
      <c r="P500" t="s">
        <v>507</v>
      </c>
      <c r="Q500">
        <v>10</v>
      </c>
    </row>
    <row r="501" spans="1:17" ht="14.25" customHeight="1" x14ac:dyDescent="0.25">
      <c r="A501" s="4"/>
      <c r="B501" s="21">
        <v>44213</v>
      </c>
      <c r="C501" s="5">
        <f t="shared" si="14"/>
        <v>4</v>
      </c>
      <c r="D501" s="5">
        <f t="shared" si="15"/>
        <v>1</v>
      </c>
      <c r="E501" s="1" t="s">
        <v>5</v>
      </c>
      <c r="F501" s="1" t="s">
        <v>19</v>
      </c>
      <c r="G501">
        <v>47595</v>
      </c>
      <c r="H501">
        <v>100519</v>
      </c>
      <c r="I501" s="4"/>
      <c r="J501" s="22">
        <v>0.26041666666666669</v>
      </c>
      <c r="K501" s="22">
        <v>0.88680555555555562</v>
      </c>
      <c r="L501" s="4"/>
      <c r="M501" s="4"/>
      <c r="N501" t="s">
        <v>1375</v>
      </c>
      <c r="O501" s="4"/>
      <c r="P501" t="s">
        <v>508</v>
      </c>
      <c r="Q501">
        <v>28</v>
      </c>
    </row>
    <row r="502" spans="1:17" ht="14.25" customHeight="1" x14ac:dyDescent="0.25">
      <c r="A502" s="4"/>
      <c r="B502" s="21">
        <v>44213</v>
      </c>
      <c r="C502" s="5">
        <f t="shared" si="14"/>
        <v>4</v>
      </c>
      <c r="D502" s="5">
        <f t="shared" si="15"/>
        <v>1</v>
      </c>
      <c r="E502" s="1" t="s">
        <v>6</v>
      </c>
      <c r="F502" s="1" t="s">
        <v>11</v>
      </c>
      <c r="G502">
        <v>47595</v>
      </c>
      <c r="H502">
        <v>100521</v>
      </c>
      <c r="I502" s="4"/>
      <c r="J502" s="22">
        <v>0.27638888888888885</v>
      </c>
      <c r="K502" s="22">
        <v>0.6645833333333333</v>
      </c>
      <c r="L502" s="4"/>
      <c r="M502" s="4"/>
      <c r="N502" t="s">
        <v>1376</v>
      </c>
      <c r="O502" s="4"/>
      <c r="P502" t="s">
        <v>509</v>
      </c>
      <c r="Q502">
        <v>30</v>
      </c>
    </row>
    <row r="503" spans="1:17" ht="14.25" customHeight="1" x14ac:dyDescent="0.25">
      <c r="A503" s="4"/>
      <c r="B503" s="21">
        <v>44213</v>
      </c>
      <c r="C503" s="5">
        <f t="shared" si="14"/>
        <v>4</v>
      </c>
      <c r="D503" s="5">
        <f t="shared" si="15"/>
        <v>1</v>
      </c>
      <c r="E503" s="1" t="s">
        <v>7</v>
      </c>
      <c r="F503" s="1" t="s">
        <v>15</v>
      </c>
      <c r="G503">
        <v>47596</v>
      </c>
      <c r="H503">
        <v>100522</v>
      </c>
      <c r="I503" s="4"/>
      <c r="J503" s="22">
        <v>0.4597222222222222</v>
      </c>
      <c r="K503" s="22">
        <v>0.22638888888888889</v>
      </c>
      <c r="L503" s="4"/>
      <c r="M503" s="4"/>
      <c r="N503" t="s">
        <v>1377</v>
      </c>
      <c r="O503" s="4"/>
      <c r="P503" t="s">
        <v>510</v>
      </c>
      <c r="Q503">
        <v>1</v>
      </c>
    </row>
    <row r="504" spans="1:17" ht="14.25" customHeight="1" x14ac:dyDescent="0.25">
      <c r="A504" s="4"/>
      <c r="B504" s="21">
        <v>44213</v>
      </c>
      <c r="C504" s="5">
        <f t="shared" si="14"/>
        <v>4</v>
      </c>
      <c r="D504" s="5">
        <f t="shared" si="15"/>
        <v>1</v>
      </c>
      <c r="E504" s="1" t="s">
        <v>6</v>
      </c>
      <c r="F504" s="1" t="s">
        <v>13</v>
      </c>
      <c r="G504">
        <v>47599</v>
      </c>
      <c r="H504">
        <v>100523</v>
      </c>
      <c r="I504" s="4"/>
      <c r="J504" s="22">
        <v>0.41736111111111113</v>
      </c>
      <c r="K504" s="22">
        <v>2.0833333333333332E-2</v>
      </c>
      <c r="L504" s="4"/>
      <c r="M504" s="4"/>
      <c r="N504" t="s">
        <v>1378</v>
      </c>
      <c r="O504" s="4"/>
      <c r="P504" t="s">
        <v>511</v>
      </c>
      <c r="Q504">
        <v>11</v>
      </c>
    </row>
    <row r="505" spans="1:17" ht="14.25" customHeight="1" x14ac:dyDescent="0.25">
      <c r="A505" s="4"/>
      <c r="B505" s="21">
        <v>44213</v>
      </c>
      <c r="C505" s="5">
        <f t="shared" si="14"/>
        <v>4</v>
      </c>
      <c r="D505" s="5">
        <f t="shared" si="15"/>
        <v>1</v>
      </c>
      <c r="E505" s="1" t="s">
        <v>6</v>
      </c>
      <c r="F505" s="1" t="s">
        <v>12</v>
      </c>
      <c r="G505">
        <v>47600</v>
      </c>
      <c r="H505">
        <v>100524</v>
      </c>
      <c r="I505" s="4"/>
      <c r="J505" s="22">
        <v>0.41736111111111113</v>
      </c>
      <c r="K505" s="22">
        <v>0.93402777777777779</v>
      </c>
      <c r="L505" s="4"/>
      <c r="M505" s="4"/>
      <c r="N505" t="s">
        <v>1379</v>
      </c>
      <c r="O505" s="4"/>
      <c r="P505" t="s">
        <v>512</v>
      </c>
      <c r="Q505">
        <v>10</v>
      </c>
    </row>
    <row r="506" spans="1:17" ht="14.25" customHeight="1" x14ac:dyDescent="0.25">
      <c r="A506" s="4"/>
      <c r="B506" s="21">
        <v>44213</v>
      </c>
      <c r="C506" s="5">
        <f t="shared" si="14"/>
        <v>4</v>
      </c>
      <c r="D506" s="5">
        <f t="shared" si="15"/>
        <v>1</v>
      </c>
      <c r="E506" s="1" t="s">
        <v>5</v>
      </c>
      <c r="F506" s="1" t="s">
        <v>17</v>
      </c>
      <c r="G506">
        <v>47601</v>
      </c>
      <c r="H506">
        <v>100524</v>
      </c>
      <c r="I506" s="4"/>
      <c r="J506" s="22">
        <v>0.28125</v>
      </c>
      <c r="K506" s="22">
        <v>0.27152777777777776</v>
      </c>
      <c r="L506" s="4"/>
      <c r="M506" s="4"/>
      <c r="N506" t="s">
        <v>1380</v>
      </c>
      <c r="O506" s="4"/>
      <c r="P506" t="s">
        <v>513</v>
      </c>
      <c r="Q506">
        <v>8</v>
      </c>
    </row>
    <row r="507" spans="1:17" ht="14.25" customHeight="1" x14ac:dyDescent="0.25">
      <c r="A507" s="4"/>
      <c r="B507" s="21">
        <v>44213</v>
      </c>
      <c r="C507" s="5">
        <f t="shared" si="14"/>
        <v>4</v>
      </c>
      <c r="D507" s="5">
        <f t="shared" si="15"/>
        <v>1</v>
      </c>
      <c r="E507" s="1" t="s">
        <v>5</v>
      </c>
      <c r="F507" s="1" t="s">
        <v>20</v>
      </c>
      <c r="G507">
        <v>47601</v>
      </c>
      <c r="H507">
        <v>100525</v>
      </c>
      <c r="I507" s="4"/>
      <c r="J507" s="22">
        <v>0.29166666666666669</v>
      </c>
      <c r="K507" s="22">
        <v>2.5694444444444447E-2</v>
      </c>
      <c r="L507" s="4"/>
      <c r="M507" s="4"/>
      <c r="N507" t="s">
        <v>1381</v>
      </c>
      <c r="O507" s="4"/>
      <c r="P507" t="s">
        <v>148</v>
      </c>
      <c r="Q507">
        <v>33</v>
      </c>
    </row>
    <row r="508" spans="1:17" ht="14.25" customHeight="1" x14ac:dyDescent="0.25">
      <c r="A508" s="4"/>
      <c r="B508" s="21">
        <v>44213</v>
      </c>
      <c r="C508" s="5">
        <f t="shared" si="14"/>
        <v>4</v>
      </c>
      <c r="D508" s="5">
        <f t="shared" si="15"/>
        <v>1</v>
      </c>
      <c r="E508" s="1" t="s">
        <v>5</v>
      </c>
      <c r="F508" s="1" t="s">
        <v>18</v>
      </c>
      <c r="G508">
        <v>47603</v>
      </c>
      <c r="H508">
        <v>100525</v>
      </c>
      <c r="I508" s="4"/>
      <c r="J508" s="22">
        <v>0.49861111111111112</v>
      </c>
      <c r="K508" s="22">
        <v>0.58333333333333337</v>
      </c>
      <c r="L508" s="4"/>
      <c r="M508" s="4"/>
      <c r="N508" t="s">
        <v>1382</v>
      </c>
      <c r="O508" s="4"/>
      <c r="P508" t="s">
        <v>514</v>
      </c>
      <c r="Q508">
        <v>21</v>
      </c>
    </row>
    <row r="509" spans="1:17" ht="14.25" customHeight="1" x14ac:dyDescent="0.25">
      <c r="A509" s="4"/>
      <c r="B509" s="21">
        <v>44213</v>
      </c>
      <c r="C509" s="5">
        <f t="shared" si="14"/>
        <v>4</v>
      </c>
      <c r="D509" s="5">
        <f t="shared" si="15"/>
        <v>1</v>
      </c>
      <c r="E509" s="1" t="s">
        <v>7</v>
      </c>
      <c r="F509" s="1" t="s">
        <v>16</v>
      </c>
      <c r="G509">
        <v>47606</v>
      </c>
      <c r="H509">
        <v>100526</v>
      </c>
      <c r="I509" s="4"/>
      <c r="J509" s="22">
        <v>0.4770833333333333</v>
      </c>
      <c r="K509" s="22">
        <v>0.35555555555555557</v>
      </c>
      <c r="L509" s="4"/>
      <c r="M509" s="4"/>
      <c r="N509" t="s">
        <v>1383</v>
      </c>
      <c r="O509" s="4"/>
      <c r="P509" t="s">
        <v>197</v>
      </c>
      <c r="Q509">
        <v>28</v>
      </c>
    </row>
    <row r="510" spans="1:17" ht="14.25" customHeight="1" x14ac:dyDescent="0.25">
      <c r="A510" s="4"/>
      <c r="B510" s="21">
        <v>44213</v>
      </c>
      <c r="C510" s="5">
        <f t="shared" si="14"/>
        <v>4</v>
      </c>
      <c r="D510" s="5">
        <f t="shared" si="15"/>
        <v>1</v>
      </c>
      <c r="E510" s="1" t="s">
        <v>6</v>
      </c>
      <c r="F510" s="1" t="s">
        <v>12</v>
      </c>
      <c r="G510">
        <v>47607</v>
      </c>
      <c r="H510">
        <v>100528</v>
      </c>
      <c r="I510" s="4"/>
      <c r="J510" s="22">
        <v>0.44791666666666669</v>
      </c>
      <c r="K510" s="22">
        <v>0.91111111111111109</v>
      </c>
      <c r="L510" s="4"/>
      <c r="M510" s="4"/>
      <c r="N510" t="s">
        <v>1384</v>
      </c>
      <c r="O510" s="4"/>
      <c r="P510" t="s">
        <v>515</v>
      </c>
      <c r="Q510">
        <v>22</v>
      </c>
    </row>
    <row r="511" spans="1:17" ht="14.25" customHeight="1" x14ac:dyDescent="0.25">
      <c r="A511" s="4"/>
      <c r="B511" s="21">
        <v>44213</v>
      </c>
      <c r="C511" s="5">
        <f t="shared" si="14"/>
        <v>4</v>
      </c>
      <c r="D511" s="5">
        <f t="shared" si="15"/>
        <v>1</v>
      </c>
      <c r="E511" s="1" t="s">
        <v>6</v>
      </c>
      <c r="F511" s="1" t="s">
        <v>12</v>
      </c>
      <c r="G511">
        <v>47607</v>
      </c>
      <c r="H511">
        <v>100528</v>
      </c>
      <c r="I511" s="4"/>
      <c r="J511" s="22">
        <v>0.39305555555555555</v>
      </c>
      <c r="K511" s="22">
        <v>0.79861111111111116</v>
      </c>
      <c r="L511" s="4"/>
      <c r="M511" s="4"/>
      <c r="N511" t="s">
        <v>1385</v>
      </c>
      <c r="O511" s="4"/>
      <c r="P511" t="s">
        <v>393</v>
      </c>
      <c r="Q511">
        <v>30</v>
      </c>
    </row>
    <row r="512" spans="1:17" ht="14.25" customHeight="1" x14ac:dyDescent="0.25">
      <c r="A512" s="4"/>
      <c r="B512" s="21">
        <v>44213</v>
      </c>
      <c r="C512" s="5">
        <f t="shared" si="14"/>
        <v>4</v>
      </c>
      <c r="D512" s="5">
        <f t="shared" si="15"/>
        <v>1</v>
      </c>
      <c r="E512" s="1" t="s">
        <v>6</v>
      </c>
      <c r="F512" s="1" t="s">
        <v>13</v>
      </c>
      <c r="G512">
        <v>47608</v>
      </c>
      <c r="H512">
        <v>100530</v>
      </c>
      <c r="I512" s="4"/>
      <c r="J512" s="22">
        <v>0.44513888888888892</v>
      </c>
      <c r="K512" s="22">
        <v>0.18263888888888891</v>
      </c>
      <c r="L512" s="4"/>
      <c r="M512" s="4"/>
      <c r="N512" t="s">
        <v>1386</v>
      </c>
      <c r="O512" s="4"/>
      <c r="P512" t="s">
        <v>516</v>
      </c>
      <c r="Q512">
        <v>3</v>
      </c>
    </row>
    <row r="513" spans="1:17" ht="14.25" customHeight="1" x14ac:dyDescent="0.25">
      <c r="A513" s="4"/>
      <c r="B513" s="21">
        <v>44213</v>
      </c>
      <c r="C513" s="5">
        <f t="shared" si="14"/>
        <v>4</v>
      </c>
      <c r="D513" s="5">
        <f t="shared" si="15"/>
        <v>1</v>
      </c>
      <c r="E513" s="1" t="s">
        <v>6</v>
      </c>
      <c r="F513" s="1" t="s">
        <v>11</v>
      </c>
      <c r="G513">
        <v>47609</v>
      </c>
      <c r="H513">
        <v>100532</v>
      </c>
      <c r="I513" s="4"/>
      <c r="J513" s="22">
        <v>0.38472222222222219</v>
      </c>
      <c r="K513" s="22">
        <v>0.68333333333333324</v>
      </c>
      <c r="L513" s="4"/>
      <c r="M513" s="4"/>
      <c r="N513" t="s">
        <v>1387</v>
      </c>
      <c r="O513" s="4"/>
      <c r="P513" t="s">
        <v>517</v>
      </c>
      <c r="Q513">
        <v>5</v>
      </c>
    </row>
    <row r="514" spans="1:17" ht="14.25" customHeight="1" x14ac:dyDescent="0.25">
      <c r="A514" s="4"/>
      <c r="B514" s="21">
        <v>44213</v>
      </c>
      <c r="C514" s="5">
        <f t="shared" si="14"/>
        <v>4</v>
      </c>
      <c r="D514" s="5">
        <f t="shared" si="15"/>
        <v>1</v>
      </c>
      <c r="E514" s="1" t="s">
        <v>5</v>
      </c>
      <c r="F514" s="1" t="s">
        <v>18</v>
      </c>
      <c r="G514">
        <v>47609</v>
      </c>
      <c r="H514">
        <v>100534</v>
      </c>
      <c r="I514" s="4"/>
      <c r="J514" s="22">
        <v>0.27499999999999997</v>
      </c>
      <c r="K514" s="22">
        <v>0.13194444444444445</v>
      </c>
      <c r="L514" s="4"/>
      <c r="M514" s="4"/>
      <c r="N514" t="s">
        <v>1388</v>
      </c>
      <c r="O514" s="4"/>
      <c r="P514" t="s">
        <v>518</v>
      </c>
      <c r="Q514">
        <v>14</v>
      </c>
    </row>
    <row r="515" spans="1:17" ht="14.25" customHeight="1" x14ac:dyDescent="0.25">
      <c r="A515" s="4"/>
      <c r="B515" s="21">
        <v>44213</v>
      </c>
      <c r="C515" s="5">
        <f t="shared" ref="C515:C578" si="16">WEEKNUM(B515)</f>
        <v>4</v>
      </c>
      <c r="D515" s="5">
        <f t="shared" ref="D515:D578" si="17">WEEKDAY(B515)</f>
        <v>1</v>
      </c>
      <c r="E515" s="1" t="s">
        <v>6</v>
      </c>
      <c r="F515" s="1" t="s">
        <v>12</v>
      </c>
      <c r="G515">
        <v>47610</v>
      </c>
      <c r="H515">
        <v>100534</v>
      </c>
      <c r="I515" s="4"/>
      <c r="J515" s="22">
        <v>0.36180555555555555</v>
      </c>
      <c r="K515" s="22">
        <v>0.36249999999999999</v>
      </c>
      <c r="L515" s="4"/>
      <c r="M515" s="4"/>
      <c r="N515" t="s">
        <v>1389</v>
      </c>
      <c r="O515" s="4"/>
      <c r="P515" t="s">
        <v>349</v>
      </c>
      <c r="Q515">
        <v>29</v>
      </c>
    </row>
    <row r="516" spans="1:17" ht="14.25" customHeight="1" x14ac:dyDescent="0.25">
      <c r="A516" s="4"/>
      <c r="B516" s="21">
        <v>44213</v>
      </c>
      <c r="C516" s="5">
        <f t="shared" si="16"/>
        <v>4</v>
      </c>
      <c r="D516" s="5">
        <f t="shared" si="17"/>
        <v>1</v>
      </c>
      <c r="E516" s="1" t="s">
        <v>6</v>
      </c>
      <c r="F516" s="1" t="s">
        <v>11</v>
      </c>
      <c r="G516">
        <v>47610</v>
      </c>
      <c r="H516">
        <v>100535</v>
      </c>
      <c r="I516" s="4"/>
      <c r="J516" s="22">
        <v>0.45624999999999999</v>
      </c>
      <c r="K516" s="22">
        <v>0.30763888888888891</v>
      </c>
      <c r="L516" s="4"/>
      <c r="M516" s="4"/>
      <c r="N516" t="s">
        <v>1390</v>
      </c>
      <c r="O516" s="4"/>
      <c r="P516" t="s">
        <v>519</v>
      </c>
      <c r="Q516">
        <v>11</v>
      </c>
    </row>
    <row r="517" spans="1:17" ht="14.25" customHeight="1" x14ac:dyDescent="0.25">
      <c r="A517" s="4"/>
      <c r="B517" s="21">
        <v>44213</v>
      </c>
      <c r="C517" s="5">
        <f t="shared" si="16"/>
        <v>4</v>
      </c>
      <c r="D517" s="5">
        <f t="shared" si="17"/>
        <v>1</v>
      </c>
      <c r="E517" s="1" t="s">
        <v>7</v>
      </c>
      <c r="F517" s="1" t="s">
        <v>14</v>
      </c>
      <c r="G517">
        <v>47611</v>
      </c>
      <c r="H517">
        <v>100540</v>
      </c>
      <c r="I517" s="4"/>
      <c r="J517" s="22">
        <v>0.45555555555555555</v>
      </c>
      <c r="K517" s="22">
        <v>0.74861111111111101</v>
      </c>
      <c r="L517" s="4"/>
      <c r="M517" s="4"/>
      <c r="N517" t="s">
        <v>1391</v>
      </c>
      <c r="O517" s="4"/>
      <c r="P517" t="s">
        <v>520</v>
      </c>
      <c r="Q517">
        <v>17</v>
      </c>
    </row>
    <row r="518" spans="1:17" ht="14.25" customHeight="1" x14ac:dyDescent="0.25">
      <c r="A518" s="4"/>
      <c r="B518" s="21">
        <v>44213</v>
      </c>
      <c r="C518" s="5">
        <f t="shared" si="16"/>
        <v>4</v>
      </c>
      <c r="D518" s="5">
        <f t="shared" si="17"/>
        <v>1</v>
      </c>
      <c r="E518" s="1" t="s">
        <v>7</v>
      </c>
      <c r="F518" s="1" t="s">
        <v>14</v>
      </c>
      <c r="G518">
        <v>47612</v>
      </c>
      <c r="H518">
        <v>100542</v>
      </c>
      <c r="I518" s="4"/>
      <c r="J518" s="22">
        <v>0.49652777777777773</v>
      </c>
      <c r="K518" s="22">
        <v>0.77916666666666667</v>
      </c>
      <c r="L518" s="4"/>
      <c r="M518" s="4"/>
      <c r="N518" t="s">
        <v>1392</v>
      </c>
      <c r="O518" s="4"/>
      <c r="P518" t="s">
        <v>521</v>
      </c>
      <c r="Q518">
        <v>15</v>
      </c>
    </row>
    <row r="519" spans="1:17" ht="14.25" customHeight="1" x14ac:dyDescent="0.25">
      <c r="A519" s="4"/>
      <c r="B519" s="21">
        <v>44213</v>
      </c>
      <c r="C519" s="5">
        <f t="shared" si="16"/>
        <v>4</v>
      </c>
      <c r="D519" s="5">
        <f t="shared" si="17"/>
        <v>1</v>
      </c>
      <c r="E519" s="1" t="s">
        <v>7</v>
      </c>
      <c r="F519" s="1" t="s">
        <v>15</v>
      </c>
      <c r="G519">
        <v>47613</v>
      </c>
      <c r="H519">
        <v>100544</v>
      </c>
      <c r="I519" s="4"/>
      <c r="J519" s="22">
        <v>0.4055555555555555</v>
      </c>
      <c r="K519" s="22">
        <v>4.8611111111111112E-3</v>
      </c>
      <c r="L519" s="4"/>
      <c r="M519" s="4"/>
      <c r="N519" t="s">
        <v>1393</v>
      </c>
      <c r="O519" s="4"/>
      <c r="P519" t="s">
        <v>522</v>
      </c>
      <c r="Q519">
        <v>21</v>
      </c>
    </row>
    <row r="520" spans="1:17" ht="14.25" customHeight="1" x14ac:dyDescent="0.25">
      <c r="A520" s="4"/>
      <c r="B520" s="21">
        <v>44213</v>
      </c>
      <c r="C520" s="5">
        <f t="shared" si="16"/>
        <v>4</v>
      </c>
      <c r="D520" s="5">
        <f t="shared" si="17"/>
        <v>1</v>
      </c>
      <c r="E520" s="1" t="s">
        <v>7</v>
      </c>
      <c r="F520" s="1" t="s">
        <v>15</v>
      </c>
      <c r="G520">
        <v>47613</v>
      </c>
      <c r="H520">
        <v>100544</v>
      </c>
      <c r="I520" s="4"/>
      <c r="J520" s="22">
        <v>0.3430555555555555</v>
      </c>
      <c r="K520" s="22">
        <v>0.55972222222222223</v>
      </c>
      <c r="L520" s="4"/>
      <c r="M520" s="4"/>
      <c r="N520" t="s">
        <v>1394</v>
      </c>
      <c r="O520" s="4"/>
      <c r="P520" t="s">
        <v>425</v>
      </c>
      <c r="Q520">
        <v>13</v>
      </c>
    </row>
    <row r="521" spans="1:17" ht="14.25" customHeight="1" x14ac:dyDescent="0.25">
      <c r="A521" s="4"/>
      <c r="B521" s="21">
        <v>44213</v>
      </c>
      <c r="C521" s="5">
        <f t="shared" si="16"/>
        <v>4</v>
      </c>
      <c r="D521" s="5">
        <f t="shared" si="17"/>
        <v>1</v>
      </c>
      <c r="E521" s="1" t="s">
        <v>6</v>
      </c>
      <c r="F521" s="1" t="s">
        <v>13</v>
      </c>
      <c r="G521">
        <v>47614</v>
      </c>
      <c r="H521">
        <v>100546</v>
      </c>
      <c r="I521" s="4"/>
      <c r="J521" s="22">
        <v>0.38750000000000001</v>
      </c>
      <c r="K521" s="22">
        <v>0.45694444444444443</v>
      </c>
      <c r="L521" s="4"/>
      <c r="M521" s="4"/>
      <c r="N521" t="s">
        <v>1395</v>
      </c>
      <c r="O521" s="4"/>
      <c r="P521" t="s">
        <v>523</v>
      </c>
      <c r="Q521">
        <v>25</v>
      </c>
    </row>
    <row r="522" spans="1:17" ht="14.25" customHeight="1" x14ac:dyDescent="0.25">
      <c r="A522" s="4"/>
      <c r="B522" s="21">
        <v>44213</v>
      </c>
      <c r="C522" s="5">
        <f t="shared" si="16"/>
        <v>4</v>
      </c>
      <c r="D522" s="5">
        <f t="shared" si="17"/>
        <v>1</v>
      </c>
      <c r="E522" s="1" t="s">
        <v>7</v>
      </c>
      <c r="F522" s="1" t="s">
        <v>14</v>
      </c>
      <c r="G522">
        <v>47615</v>
      </c>
      <c r="H522">
        <v>100547</v>
      </c>
      <c r="I522" s="4"/>
      <c r="J522" s="22">
        <v>0.44097222222222227</v>
      </c>
      <c r="K522" s="22">
        <v>0.45069444444444445</v>
      </c>
      <c r="L522" s="4"/>
      <c r="M522" s="4"/>
      <c r="N522" t="s">
        <v>1396</v>
      </c>
      <c r="O522" s="4"/>
      <c r="P522" t="s">
        <v>524</v>
      </c>
      <c r="Q522">
        <v>6</v>
      </c>
    </row>
    <row r="523" spans="1:17" ht="14.25" customHeight="1" x14ac:dyDescent="0.25">
      <c r="A523" s="4"/>
      <c r="B523" s="21">
        <v>44213</v>
      </c>
      <c r="C523" s="5">
        <f t="shared" si="16"/>
        <v>4</v>
      </c>
      <c r="D523" s="5">
        <f t="shared" si="17"/>
        <v>1</v>
      </c>
      <c r="E523" s="1" t="s">
        <v>7</v>
      </c>
      <c r="F523" s="1" t="s">
        <v>16</v>
      </c>
      <c r="G523">
        <v>47618</v>
      </c>
      <c r="H523">
        <v>100549</v>
      </c>
      <c r="I523" s="4"/>
      <c r="J523" s="22">
        <v>0.30486111111111108</v>
      </c>
      <c r="K523" s="22">
        <v>0.54027777777777775</v>
      </c>
      <c r="L523" s="4"/>
      <c r="M523" s="4"/>
      <c r="N523" t="s">
        <v>1397</v>
      </c>
      <c r="O523" s="4"/>
      <c r="P523" t="s">
        <v>525</v>
      </c>
      <c r="Q523">
        <v>24</v>
      </c>
    </row>
    <row r="524" spans="1:17" ht="14.25" customHeight="1" x14ac:dyDescent="0.25">
      <c r="A524" s="4"/>
      <c r="B524" s="21">
        <v>44213</v>
      </c>
      <c r="C524" s="5">
        <f t="shared" si="16"/>
        <v>4</v>
      </c>
      <c r="D524" s="5">
        <f t="shared" si="17"/>
        <v>1</v>
      </c>
      <c r="E524" s="1" t="s">
        <v>7</v>
      </c>
      <c r="F524" s="1" t="s">
        <v>14</v>
      </c>
      <c r="G524">
        <v>47619</v>
      </c>
      <c r="H524">
        <v>100549</v>
      </c>
      <c r="I524" s="4"/>
      <c r="J524" s="22">
        <v>0.32847222222222222</v>
      </c>
      <c r="K524" s="22">
        <v>0.69652777777777775</v>
      </c>
      <c r="L524" s="4"/>
      <c r="M524" s="4"/>
      <c r="N524" t="s">
        <v>1398</v>
      </c>
      <c r="O524" s="4"/>
      <c r="P524" t="s">
        <v>526</v>
      </c>
      <c r="Q524">
        <v>10</v>
      </c>
    </row>
    <row r="525" spans="1:17" ht="14.25" customHeight="1" x14ac:dyDescent="0.25">
      <c r="A525" s="4"/>
      <c r="B525" s="21">
        <v>44213</v>
      </c>
      <c r="C525" s="5">
        <f t="shared" si="16"/>
        <v>4</v>
      </c>
      <c r="D525" s="5">
        <f t="shared" si="17"/>
        <v>1</v>
      </c>
      <c r="E525" s="1" t="s">
        <v>5</v>
      </c>
      <c r="F525" s="1" t="s">
        <v>20</v>
      </c>
      <c r="G525">
        <v>47619</v>
      </c>
      <c r="H525">
        <v>100550</v>
      </c>
      <c r="I525" s="4"/>
      <c r="J525" s="22">
        <v>0.28472222222222221</v>
      </c>
      <c r="K525" s="22">
        <v>0.61805555555555558</v>
      </c>
      <c r="L525" s="4"/>
      <c r="M525" s="4"/>
      <c r="N525" t="s">
        <v>1399</v>
      </c>
      <c r="O525" s="4"/>
      <c r="P525" t="s">
        <v>527</v>
      </c>
      <c r="Q525">
        <v>20</v>
      </c>
    </row>
    <row r="526" spans="1:17" ht="14.25" customHeight="1" x14ac:dyDescent="0.25">
      <c r="A526" s="4"/>
      <c r="B526" s="21">
        <v>44213</v>
      </c>
      <c r="C526" s="5">
        <f t="shared" si="16"/>
        <v>4</v>
      </c>
      <c r="D526" s="5">
        <f t="shared" si="17"/>
        <v>1</v>
      </c>
      <c r="E526" s="1" t="s">
        <v>7</v>
      </c>
      <c r="F526" s="1" t="s">
        <v>16</v>
      </c>
      <c r="G526">
        <v>47619</v>
      </c>
      <c r="H526">
        <v>100554</v>
      </c>
      <c r="I526" s="4"/>
      <c r="J526" s="22">
        <v>0.26666666666666666</v>
      </c>
      <c r="K526" s="22">
        <v>0.35972222222222222</v>
      </c>
      <c r="L526" s="4"/>
      <c r="M526" s="4"/>
      <c r="N526" t="s">
        <v>1400</v>
      </c>
      <c r="O526" s="4"/>
      <c r="P526" t="s">
        <v>490</v>
      </c>
      <c r="Q526">
        <v>28</v>
      </c>
    </row>
    <row r="527" spans="1:17" ht="14.25" customHeight="1" x14ac:dyDescent="0.25">
      <c r="A527" s="4"/>
      <c r="B527" s="21">
        <v>44213</v>
      </c>
      <c r="C527" s="5">
        <f t="shared" si="16"/>
        <v>4</v>
      </c>
      <c r="D527" s="5">
        <f t="shared" si="17"/>
        <v>1</v>
      </c>
      <c r="E527" s="1" t="s">
        <v>5</v>
      </c>
      <c r="F527" s="1" t="s">
        <v>17</v>
      </c>
      <c r="G527">
        <v>47622</v>
      </c>
      <c r="H527">
        <v>100555</v>
      </c>
      <c r="I527" s="4"/>
      <c r="J527" s="22">
        <v>0.3263888888888889</v>
      </c>
      <c r="K527" s="22">
        <v>0.50138888888888888</v>
      </c>
      <c r="L527" s="4"/>
      <c r="M527" s="4"/>
      <c r="N527" t="s">
        <v>1401</v>
      </c>
      <c r="O527" s="4"/>
      <c r="P527" t="s">
        <v>528</v>
      </c>
      <c r="Q527">
        <v>23</v>
      </c>
    </row>
    <row r="528" spans="1:17" ht="14.25" customHeight="1" x14ac:dyDescent="0.25">
      <c r="A528" s="4"/>
      <c r="B528" s="21">
        <v>44213</v>
      </c>
      <c r="C528" s="5">
        <f t="shared" si="16"/>
        <v>4</v>
      </c>
      <c r="D528" s="5">
        <f t="shared" si="17"/>
        <v>1</v>
      </c>
      <c r="E528" s="1" t="s">
        <v>5</v>
      </c>
      <c r="F528" s="1" t="s">
        <v>19</v>
      </c>
      <c r="G528">
        <v>47622</v>
      </c>
      <c r="H528">
        <v>100558</v>
      </c>
      <c r="I528" s="4"/>
      <c r="J528" s="22">
        <v>0.4513888888888889</v>
      </c>
      <c r="K528" s="22">
        <v>0.69374999999999998</v>
      </c>
      <c r="L528" s="4"/>
      <c r="M528" s="4"/>
      <c r="N528" t="s">
        <v>1402</v>
      </c>
      <c r="O528" s="4"/>
      <c r="P528" t="s">
        <v>529</v>
      </c>
      <c r="Q528">
        <v>18</v>
      </c>
    </row>
    <row r="529" spans="1:17" ht="14.25" customHeight="1" x14ac:dyDescent="0.25">
      <c r="A529" s="4"/>
      <c r="B529" s="21">
        <v>44213</v>
      </c>
      <c r="C529" s="5">
        <f t="shared" si="16"/>
        <v>4</v>
      </c>
      <c r="D529" s="5">
        <f t="shared" si="17"/>
        <v>1</v>
      </c>
      <c r="E529" s="1" t="s">
        <v>6</v>
      </c>
      <c r="F529" s="1" t="s">
        <v>13</v>
      </c>
      <c r="G529">
        <v>47623</v>
      </c>
      <c r="H529">
        <v>100559</v>
      </c>
      <c r="I529" s="4"/>
      <c r="J529" s="22">
        <v>0.27013888888888887</v>
      </c>
      <c r="K529" s="22">
        <v>6.2499999999999995E-3</v>
      </c>
      <c r="L529" s="4"/>
      <c r="M529" s="4"/>
      <c r="N529" t="s">
        <v>1403</v>
      </c>
      <c r="O529" s="4"/>
      <c r="P529" t="s">
        <v>530</v>
      </c>
      <c r="Q529">
        <v>18</v>
      </c>
    </row>
    <row r="530" spans="1:17" ht="14.25" customHeight="1" x14ac:dyDescent="0.25">
      <c r="A530" s="4"/>
      <c r="B530" s="21">
        <v>44213</v>
      </c>
      <c r="C530" s="5">
        <f t="shared" si="16"/>
        <v>4</v>
      </c>
      <c r="D530" s="5">
        <f t="shared" si="17"/>
        <v>1</v>
      </c>
      <c r="E530" s="1" t="s">
        <v>6</v>
      </c>
      <c r="F530" s="1" t="s">
        <v>13</v>
      </c>
      <c r="G530">
        <v>47625</v>
      </c>
      <c r="H530">
        <v>100559</v>
      </c>
      <c r="I530" s="4"/>
      <c r="J530" s="22">
        <v>0.30694444444444441</v>
      </c>
      <c r="K530" s="22">
        <v>0.16458333333333333</v>
      </c>
      <c r="L530" s="4"/>
      <c r="M530" s="4"/>
      <c r="N530" t="s">
        <v>1404</v>
      </c>
      <c r="O530" s="4"/>
      <c r="P530" t="s">
        <v>531</v>
      </c>
      <c r="Q530">
        <v>10</v>
      </c>
    </row>
    <row r="531" spans="1:17" ht="14.25" customHeight="1" x14ac:dyDescent="0.25">
      <c r="A531" s="4"/>
      <c r="B531" s="21">
        <v>44213</v>
      </c>
      <c r="C531" s="5">
        <f t="shared" si="16"/>
        <v>4</v>
      </c>
      <c r="D531" s="5">
        <f t="shared" si="17"/>
        <v>1</v>
      </c>
      <c r="E531" s="1" t="s">
        <v>6</v>
      </c>
      <c r="F531" s="1" t="s">
        <v>11</v>
      </c>
      <c r="G531">
        <v>47626</v>
      </c>
      <c r="H531">
        <v>100560</v>
      </c>
      <c r="I531" s="4"/>
      <c r="J531" s="22">
        <v>0.40833333333333338</v>
      </c>
      <c r="K531" s="22">
        <v>0.7402777777777777</v>
      </c>
      <c r="L531" s="4"/>
      <c r="M531" s="4"/>
      <c r="N531" t="s">
        <v>1405</v>
      </c>
      <c r="O531" s="4"/>
      <c r="P531" t="s">
        <v>532</v>
      </c>
      <c r="Q531">
        <v>11</v>
      </c>
    </row>
    <row r="532" spans="1:17" ht="14.25" customHeight="1" x14ac:dyDescent="0.25">
      <c r="A532" s="4"/>
      <c r="B532" s="21">
        <v>44214</v>
      </c>
      <c r="C532" s="5">
        <f t="shared" si="16"/>
        <v>4</v>
      </c>
      <c r="D532" s="5">
        <f t="shared" si="17"/>
        <v>2</v>
      </c>
      <c r="E532" s="1" t="s">
        <v>6</v>
      </c>
      <c r="F532" s="1" t="s">
        <v>12</v>
      </c>
      <c r="G532">
        <v>47626</v>
      </c>
      <c r="H532">
        <v>100560</v>
      </c>
      <c r="I532" s="4"/>
      <c r="J532" s="22">
        <v>0.28958333333333336</v>
      </c>
      <c r="K532" s="22">
        <v>5.9722222222222225E-2</v>
      </c>
      <c r="L532" s="4"/>
      <c r="M532" s="4"/>
      <c r="N532" t="s">
        <v>1406</v>
      </c>
      <c r="O532" s="4"/>
      <c r="P532" t="s">
        <v>533</v>
      </c>
      <c r="Q532">
        <v>21</v>
      </c>
    </row>
    <row r="533" spans="1:17" ht="14.25" customHeight="1" x14ac:dyDescent="0.25">
      <c r="A533" s="4"/>
      <c r="B533" s="21">
        <v>44214</v>
      </c>
      <c r="C533" s="5">
        <f t="shared" si="16"/>
        <v>4</v>
      </c>
      <c r="D533" s="5">
        <f t="shared" si="17"/>
        <v>2</v>
      </c>
      <c r="E533" s="1" t="s">
        <v>6</v>
      </c>
      <c r="F533" s="1" t="s">
        <v>13</v>
      </c>
      <c r="G533">
        <v>47627</v>
      </c>
      <c r="H533">
        <v>100560</v>
      </c>
      <c r="I533" s="4"/>
      <c r="J533" s="22">
        <v>0.42499999999999999</v>
      </c>
      <c r="K533" s="22">
        <v>0.10902777777777778</v>
      </c>
      <c r="L533" s="4"/>
      <c r="M533" s="4"/>
      <c r="N533" t="s">
        <v>1407</v>
      </c>
      <c r="O533" s="4"/>
      <c r="P533" t="s">
        <v>534</v>
      </c>
      <c r="Q533">
        <v>2</v>
      </c>
    </row>
    <row r="534" spans="1:17" ht="14.25" customHeight="1" x14ac:dyDescent="0.25">
      <c r="A534" s="4"/>
      <c r="B534" s="21">
        <v>44214</v>
      </c>
      <c r="C534" s="5">
        <f t="shared" si="16"/>
        <v>4</v>
      </c>
      <c r="D534" s="5">
        <f t="shared" si="17"/>
        <v>2</v>
      </c>
      <c r="E534" s="1" t="s">
        <v>7</v>
      </c>
      <c r="F534" s="1" t="s">
        <v>14</v>
      </c>
      <c r="G534">
        <v>47628</v>
      </c>
      <c r="H534">
        <v>100561</v>
      </c>
      <c r="I534" s="4"/>
      <c r="J534" s="22">
        <v>0.3430555555555555</v>
      </c>
      <c r="K534" s="22">
        <v>0.13541666666666666</v>
      </c>
      <c r="L534" s="4"/>
      <c r="M534" s="4"/>
      <c r="N534" t="s">
        <v>1408</v>
      </c>
      <c r="O534" s="4"/>
      <c r="P534" t="s">
        <v>535</v>
      </c>
      <c r="Q534">
        <v>21</v>
      </c>
    </row>
    <row r="535" spans="1:17" ht="14.25" customHeight="1" x14ac:dyDescent="0.25">
      <c r="A535" s="4"/>
      <c r="B535" s="21">
        <v>44214</v>
      </c>
      <c r="C535" s="5">
        <f t="shared" si="16"/>
        <v>4</v>
      </c>
      <c r="D535" s="5">
        <f t="shared" si="17"/>
        <v>2</v>
      </c>
      <c r="E535" s="1" t="s">
        <v>6</v>
      </c>
      <c r="F535" s="1" t="s">
        <v>13</v>
      </c>
      <c r="G535">
        <v>47629</v>
      </c>
      <c r="H535">
        <v>100561</v>
      </c>
      <c r="I535" s="4"/>
      <c r="J535" s="22">
        <v>0.2986111111111111</v>
      </c>
      <c r="K535" s="22">
        <v>0.27638888888888885</v>
      </c>
      <c r="L535" s="4"/>
      <c r="M535" s="4"/>
      <c r="N535" t="s">
        <v>1409</v>
      </c>
      <c r="O535" s="4"/>
      <c r="P535" t="s">
        <v>536</v>
      </c>
      <c r="Q535">
        <v>19</v>
      </c>
    </row>
    <row r="536" spans="1:17" ht="14.25" customHeight="1" x14ac:dyDescent="0.25">
      <c r="A536" s="4"/>
      <c r="B536" s="21">
        <v>44214</v>
      </c>
      <c r="C536" s="5">
        <f t="shared" si="16"/>
        <v>4</v>
      </c>
      <c r="D536" s="5">
        <f t="shared" si="17"/>
        <v>2</v>
      </c>
      <c r="E536" s="1" t="s">
        <v>5</v>
      </c>
      <c r="F536" s="1" t="s">
        <v>18</v>
      </c>
      <c r="G536">
        <v>47631</v>
      </c>
      <c r="H536">
        <v>100562</v>
      </c>
      <c r="I536" s="4"/>
      <c r="J536" s="22">
        <v>0.26250000000000001</v>
      </c>
      <c r="K536" s="22">
        <v>0.6333333333333333</v>
      </c>
      <c r="L536" s="4"/>
      <c r="M536" s="4"/>
      <c r="N536" t="s">
        <v>1410</v>
      </c>
      <c r="O536" s="4"/>
      <c r="P536" t="s">
        <v>111</v>
      </c>
      <c r="Q536">
        <v>27</v>
      </c>
    </row>
    <row r="537" spans="1:17" ht="14.25" customHeight="1" x14ac:dyDescent="0.25">
      <c r="A537" s="4"/>
      <c r="B537" s="21">
        <v>44214</v>
      </c>
      <c r="C537" s="5">
        <f t="shared" si="16"/>
        <v>4</v>
      </c>
      <c r="D537" s="5">
        <f t="shared" si="17"/>
        <v>2</v>
      </c>
      <c r="E537" s="1" t="s">
        <v>5</v>
      </c>
      <c r="F537" s="1" t="s">
        <v>20</v>
      </c>
      <c r="G537">
        <v>47631</v>
      </c>
      <c r="H537">
        <v>100563</v>
      </c>
      <c r="I537" s="4"/>
      <c r="J537" s="22">
        <v>0.42152777777777778</v>
      </c>
      <c r="K537" s="22">
        <v>0.11944444444444445</v>
      </c>
      <c r="L537" s="4"/>
      <c r="M537" s="4"/>
      <c r="N537" t="s">
        <v>1411</v>
      </c>
      <c r="O537" s="4"/>
      <c r="P537" t="s">
        <v>537</v>
      </c>
      <c r="Q537">
        <v>11</v>
      </c>
    </row>
    <row r="538" spans="1:17" ht="14.25" customHeight="1" x14ac:dyDescent="0.25">
      <c r="A538" s="4"/>
      <c r="B538" s="21">
        <v>44214</v>
      </c>
      <c r="C538" s="5">
        <f t="shared" si="16"/>
        <v>4</v>
      </c>
      <c r="D538" s="5">
        <f t="shared" si="17"/>
        <v>2</v>
      </c>
      <c r="E538" s="1" t="s">
        <v>5</v>
      </c>
      <c r="F538" s="1" t="s">
        <v>20</v>
      </c>
      <c r="G538">
        <v>47631</v>
      </c>
      <c r="H538">
        <v>100563</v>
      </c>
      <c r="I538" s="4"/>
      <c r="J538" s="22">
        <v>0.44375000000000003</v>
      </c>
      <c r="K538" s="22">
        <v>0.7993055555555556</v>
      </c>
      <c r="L538" s="4"/>
      <c r="M538" s="4"/>
      <c r="N538" t="s">
        <v>1412</v>
      </c>
      <c r="O538" s="4"/>
      <c r="P538" t="s">
        <v>538</v>
      </c>
      <c r="Q538">
        <v>25</v>
      </c>
    </row>
    <row r="539" spans="1:17" ht="14.25" customHeight="1" x14ac:dyDescent="0.25">
      <c r="A539" s="4"/>
      <c r="B539" s="21">
        <v>44214</v>
      </c>
      <c r="C539" s="5">
        <f t="shared" si="16"/>
        <v>4</v>
      </c>
      <c r="D539" s="5">
        <f t="shared" si="17"/>
        <v>2</v>
      </c>
      <c r="E539" s="1" t="s">
        <v>6</v>
      </c>
      <c r="F539" s="1" t="s">
        <v>11</v>
      </c>
      <c r="G539">
        <v>47631</v>
      </c>
      <c r="H539">
        <v>100564</v>
      </c>
      <c r="I539" s="4"/>
      <c r="J539" s="22">
        <v>0.27291666666666664</v>
      </c>
      <c r="K539" s="22">
        <v>0.97569444444444453</v>
      </c>
      <c r="L539" s="4"/>
      <c r="M539" s="4"/>
      <c r="N539" t="s">
        <v>1413</v>
      </c>
      <c r="O539" s="4"/>
      <c r="P539" t="s">
        <v>539</v>
      </c>
      <c r="Q539">
        <v>25</v>
      </c>
    </row>
    <row r="540" spans="1:17" ht="14.25" customHeight="1" x14ac:dyDescent="0.25">
      <c r="A540" s="4"/>
      <c r="B540" s="21">
        <v>44214</v>
      </c>
      <c r="C540" s="5">
        <f t="shared" si="16"/>
        <v>4</v>
      </c>
      <c r="D540" s="5">
        <f t="shared" si="17"/>
        <v>2</v>
      </c>
      <c r="E540" s="1" t="s">
        <v>5</v>
      </c>
      <c r="F540" s="1" t="s">
        <v>18</v>
      </c>
      <c r="G540">
        <v>47633</v>
      </c>
      <c r="H540">
        <v>100565</v>
      </c>
      <c r="I540" s="4"/>
      <c r="J540" s="22">
        <v>0.2902777777777778</v>
      </c>
      <c r="K540" s="22">
        <v>0.4680555555555555</v>
      </c>
      <c r="L540" s="4"/>
      <c r="M540" s="4"/>
      <c r="N540" t="s">
        <v>1414</v>
      </c>
      <c r="O540" s="4"/>
      <c r="P540" t="s">
        <v>540</v>
      </c>
      <c r="Q540">
        <v>30</v>
      </c>
    </row>
    <row r="541" spans="1:17" ht="14.25" customHeight="1" x14ac:dyDescent="0.25">
      <c r="A541" s="4"/>
      <c r="B541" s="21">
        <v>44214</v>
      </c>
      <c r="C541" s="5">
        <f t="shared" si="16"/>
        <v>4</v>
      </c>
      <c r="D541" s="5">
        <f t="shared" si="17"/>
        <v>2</v>
      </c>
      <c r="E541" s="1" t="s">
        <v>7</v>
      </c>
      <c r="F541" s="1" t="s">
        <v>14</v>
      </c>
      <c r="G541">
        <v>47635</v>
      </c>
      <c r="H541">
        <v>100567</v>
      </c>
      <c r="I541" s="4"/>
      <c r="J541" s="22">
        <v>0.33263888888888887</v>
      </c>
      <c r="K541" s="22">
        <v>0.21944444444444444</v>
      </c>
      <c r="L541" s="4"/>
      <c r="M541" s="4"/>
      <c r="N541" t="s">
        <v>1415</v>
      </c>
      <c r="O541" s="4"/>
      <c r="P541" t="s">
        <v>541</v>
      </c>
      <c r="Q541">
        <v>23</v>
      </c>
    </row>
    <row r="542" spans="1:17" ht="14.25" customHeight="1" x14ac:dyDescent="0.25">
      <c r="A542" s="4"/>
      <c r="B542" s="21">
        <v>44214</v>
      </c>
      <c r="C542" s="5">
        <f t="shared" si="16"/>
        <v>4</v>
      </c>
      <c r="D542" s="5">
        <f t="shared" si="17"/>
        <v>2</v>
      </c>
      <c r="E542" s="1" t="s">
        <v>7</v>
      </c>
      <c r="F542" s="1" t="s">
        <v>15</v>
      </c>
      <c r="G542">
        <v>47639</v>
      </c>
      <c r="H542">
        <v>100568</v>
      </c>
      <c r="I542" s="4"/>
      <c r="J542" s="22">
        <v>0.31736111111111115</v>
      </c>
      <c r="K542" s="22">
        <v>0.95763888888888893</v>
      </c>
      <c r="L542" s="4"/>
      <c r="M542" s="4"/>
      <c r="N542" t="s">
        <v>1416</v>
      </c>
      <c r="O542" s="4"/>
      <c r="P542" t="s">
        <v>542</v>
      </c>
      <c r="Q542">
        <v>30</v>
      </c>
    </row>
    <row r="543" spans="1:17" ht="14.25" customHeight="1" x14ac:dyDescent="0.25">
      <c r="A543" s="4"/>
      <c r="B543" s="21">
        <v>44214</v>
      </c>
      <c r="C543" s="5">
        <f t="shared" si="16"/>
        <v>4</v>
      </c>
      <c r="D543" s="5">
        <f t="shared" si="17"/>
        <v>2</v>
      </c>
      <c r="E543" s="1" t="s">
        <v>5</v>
      </c>
      <c r="F543" s="1" t="s">
        <v>17</v>
      </c>
      <c r="G543">
        <v>47639</v>
      </c>
      <c r="H543">
        <v>100568</v>
      </c>
      <c r="I543" s="4"/>
      <c r="J543" s="22">
        <v>0.49374999999999997</v>
      </c>
      <c r="K543" s="22">
        <v>0.71388888888888891</v>
      </c>
      <c r="L543" s="4"/>
      <c r="M543" s="4"/>
      <c r="N543" t="s">
        <v>1417</v>
      </c>
      <c r="O543" s="4"/>
      <c r="P543" t="s">
        <v>543</v>
      </c>
      <c r="Q543">
        <v>13</v>
      </c>
    </row>
    <row r="544" spans="1:17" ht="14.25" customHeight="1" x14ac:dyDescent="0.25">
      <c r="A544" s="4"/>
      <c r="B544" s="21">
        <v>44214</v>
      </c>
      <c r="C544" s="5">
        <f t="shared" si="16"/>
        <v>4</v>
      </c>
      <c r="D544" s="5">
        <f t="shared" si="17"/>
        <v>2</v>
      </c>
      <c r="E544" s="1" t="s">
        <v>7</v>
      </c>
      <c r="F544" s="1" t="s">
        <v>14</v>
      </c>
      <c r="G544">
        <v>47640</v>
      </c>
      <c r="H544">
        <v>100570</v>
      </c>
      <c r="I544" s="4"/>
      <c r="J544" s="22">
        <v>0.37152777777777773</v>
      </c>
      <c r="K544" s="22">
        <v>0.17430555555555557</v>
      </c>
      <c r="L544" s="4"/>
      <c r="M544" s="4"/>
      <c r="N544" t="s">
        <v>1418</v>
      </c>
      <c r="O544" s="4"/>
      <c r="P544" t="s">
        <v>544</v>
      </c>
      <c r="Q544">
        <v>12</v>
      </c>
    </row>
    <row r="545" spans="1:17" ht="14.25" customHeight="1" x14ac:dyDescent="0.25">
      <c r="A545" s="4"/>
      <c r="B545" s="21">
        <v>44214</v>
      </c>
      <c r="C545" s="5">
        <f t="shared" si="16"/>
        <v>4</v>
      </c>
      <c r="D545" s="5">
        <f t="shared" si="17"/>
        <v>2</v>
      </c>
      <c r="E545" s="1" t="s">
        <v>6</v>
      </c>
      <c r="F545" s="1" t="s">
        <v>12</v>
      </c>
      <c r="G545">
        <v>47641</v>
      </c>
      <c r="H545">
        <v>100570</v>
      </c>
      <c r="I545" s="4"/>
      <c r="J545" s="22">
        <v>0.35972222222222222</v>
      </c>
      <c r="K545" s="22">
        <v>9.6527777777777768E-2</v>
      </c>
      <c r="L545" s="4"/>
      <c r="M545" s="4"/>
      <c r="N545" t="s">
        <v>1419</v>
      </c>
      <c r="O545" s="4"/>
      <c r="P545" t="s">
        <v>545</v>
      </c>
      <c r="Q545">
        <v>19</v>
      </c>
    </row>
    <row r="546" spans="1:17" ht="14.25" customHeight="1" x14ac:dyDescent="0.25">
      <c r="A546" s="4"/>
      <c r="B546" s="21">
        <v>44214</v>
      </c>
      <c r="C546" s="5">
        <f t="shared" si="16"/>
        <v>4</v>
      </c>
      <c r="D546" s="5">
        <f t="shared" si="17"/>
        <v>2</v>
      </c>
      <c r="E546" s="1" t="s">
        <v>6</v>
      </c>
      <c r="F546" s="1" t="s">
        <v>13</v>
      </c>
      <c r="G546">
        <v>47641</v>
      </c>
      <c r="H546">
        <v>100571</v>
      </c>
      <c r="I546" s="4"/>
      <c r="J546" s="22">
        <v>0.30277777777777776</v>
      </c>
      <c r="K546" s="22">
        <v>0.14583333333333334</v>
      </c>
      <c r="L546" s="4"/>
      <c r="M546" s="4"/>
      <c r="N546" t="s">
        <v>1420</v>
      </c>
      <c r="O546" s="4"/>
      <c r="P546" t="s">
        <v>546</v>
      </c>
      <c r="Q546">
        <v>19</v>
      </c>
    </row>
    <row r="547" spans="1:17" ht="14.25" customHeight="1" x14ac:dyDescent="0.25">
      <c r="A547" s="4"/>
      <c r="B547" s="21">
        <v>44214</v>
      </c>
      <c r="C547" s="5">
        <f t="shared" si="16"/>
        <v>4</v>
      </c>
      <c r="D547" s="5">
        <f t="shared" si="17"/>
        <v>2</v>
      </c>
      <c r="E547" s="1" t="s">
        <v>6</v>
      </c>
      <c r="F547" s="1" t="s">
        <v>11</v>
      </c>
      <c r="G547">
        <v>47642</v>
      </c>
      <c r="H547">
        <v>100576</v>
      </c>
      <c r="I547" s="4"/>
      <c r="J547" s="22">
        <v>0.45347222222222222</v>
      </c>
      <c r="K547" s="22">
        <v>4.8611111111111112E-2</v>
      </c>
      <c r="L547" s="4"/>
      <c r="M547" s="4"/>
      <c r="N547" t="s">
        <v>1421</v>
      </c>
      <c r="O547" s="4"/>
      <c r="P547" t="s">
        <v>547</v>
      </c>
      <c r="Q547">
        <v>22</v>
      </c>
    </row>
    <row r="548" spans="1:17" ht="14.25" customHeight="1" x14ac:dyDescent="0.25">
      <c r="A548" s="4"/>
      <c r="B548" s="21">
        <v>44214</v>
      </c>
      <c r="C548" s="5">
        <f t="shared" si="16"/>
        <v>4</v>
      </c>
      <c r="D548" s="5">
        <f t="shared" si="17"/>
        <v>2</v>
      </c>
      <c r="E548" s="1" t="s">
        <v>6</v>
      </c>
      <c r="F548" s="1" t="s">
        <v>13</v>
      </c>
      <c r="G548">
        <v>47644</v>
      </c>
      <c r="H548">
        <v>100576</v>
      </c>
      <c r="I548" s="4"/>
      <c r="J548" s="22">
        <v>0.40486111111111112</v>
      </c>
      <c r="K548" s="22">
        <v>0.94652777777777775</v>
      </c>
      <c r="L548" s="4"/>
      <c r="M548" s="4"/>
      <c r="N548" t="s">
        <v>1422</v>
      </c>
      <c r="O548" s="4"/>
      <c r="P548" t="s">
        <v>499</v>
      </c>
      <c r="Q548">
        <v>23</v>
      </c>
    </row>
    <row r="549" spans="1:17" ht="14.25" customHeight="1" x14ac:dyDescent="0.25">
      <c r="A549" s="4"/>
      <c r="B549" s="21">
        <v>44214</v>
      </c>
      <c r="C549" s="5">
        <f t="shared" si="16"/>
        <v>4</v>
      </c>
      <c r="D549" s="5">
        <f t="shared" si="17"/>
        <v>2</v>
      </c>
      <c r="E549" s="1" t="s">
        <v>5</v>
      </c>
      <c r="F549" s="1" t="s">
        <v>20</v>
      </c>
      <c r="G549">
        <v>47646</v>
      </c>
      <c r="H549">
        <v>100577</v>
      </c>
      <c r="I549" s="4"/>
      <c r="J549" s="22">
        <v>0.46666666666666662</v>
      </c>
      <c r="K549" s="22">
        <v>0.85416666666666663</v>
      </c>
      <c r="L549" s="4"/>
      <c r="M549" s="4"/>
      <c r="N549" t="s">
        <v>1423</v>
      </c>
      <c r="O549" s="4"/>
      <c r="P549" t="s">
        <v>548</v>
      </c>
      <c r="Q549">
        <v>14</v>
      </c>
    </row>
    <row r="550" spans="1:17" ht="14.25" customHeight="1" x14ac:dyDescent="0.25">
      <c r="A550" s="4"/>
      <c r="B550" s="21">
        <v>44214</v>
      </c>
      <c r="C550" s="5">
        <f t="shared" si="16"/>
        <v>4</v>
      </c>
      <c r="D550" s="5">
        <f t="shared" si="17"/>
        <v>2</v>
      </c>
      <c r="E550" s="1" t="s">
        <v>5</v>
      </c>
      <c r="F550" s="1" t="s">
        <v>18</v>
      </c>
      <c r="G550">
        <v>47649</v>
      </c>
      <c r="H550">
        <v>100577</v>
      </c>
      <c r="I550" s="4"/>
      <c r="J550" s="22">
        <v>0.38125000000000003</v>
      </c>
      <c r="K550" s="22">
        <v>0.35138888888888892</v>
      </c>
      <c r="L550" s="4"/>
      <c r="M550" s="4"/>
      <c r="N550" t="s">
        <v>1424</v>
      </c>
      <c r="O550" s="4"/>
      <c r="P550" t="s">
        <v>494</v>
      </c>
      <c r="Q550">
        <v>5</v>
      </c>
    </row>
    <row r="551" spans="1:17" ht="14.25" customHeight="1" x14ac:dyDescent="0.25">
      <c r="A551" s="4"/>
      <c r="B551" s="21">
        <v>44214</v>
      </c>
      <c r="C551" s="5">
        <f t="shared" si="16"/>
        <v>4</v>
      </c>
      <c r="D551" s="5">
        <f t="shared" si="17"/>
        <v>2</v>
      </c>
      <c r="E551" s="1" t="s">
        <v>6</v>
      </c>
      <c r="F551" s="1" t="s">
        <v>11</v>
      </c>
      <c r="G551">
        <v>47650</v>
      </c>
      <c r="H551">
        <v>100578</v>
      </c>
      <c r="I551" s="4"/>
      <c r="J551" s="22">
        <v>0.40486111111111112</v>
      </c>
      <c r="K551" s="22">
        <v>6.3194444444444442E-2</v>
      </c>
      <c r="L551" s="4"/>
      <c r="M551" s="4"/>
      <c r="N551" t="s">
        <v>1425</v>
      </c>
      <c r="O551" s="4"/>
      <c r="P551" t="s">
        <v>549</v>
      </c>
      <c r="Q551">
        <v>7</v>
      </c>
    </row>
    <row r="552" spans="1:17" ht="14.25" customHeight="1" x14ac:dyDescent="0.25">
      <c r="A552" s="4"/>
      <c r="B552" s="21">
        <v>44214</v>
      </c>
      <c r="C552" s="5">
        <f t="shared" si="16"/>
        <v>4</v>
      </c>
      <c r="D552" s="5">
        <f t="shared" si="17"/>
        <v>2</v>
      </c>
      <c r="E552" s="1" t="s">
        <v>7</v>
      </c>
      <c r="F552" s="1" t="s">
        <v>16</v>
      </c>
      <c r="G552">
        <v>47651</v>
      </c>
      <c r="H552">
        <v>100579</v>
      </c>
      <c r="I552" s="4"/>
      <c r="J552" s="22">
        <v>0.33402777777777781</v>
      </c>
      <c r="K552" s="22">
        <v>0.19097222222222221</v>
      </c>
      <c r="L552" s="4"/>
      <c r="M552" s="4"/>
      <c r="N552" t="s">
        <v>1426</v>
      </c>
      <c r="O552" s="4"/>
      <c r="P552" t="s">
        <v>550</v>
      </c>
      <c r="Q552">
        <v>11</v>
      </c>
    </row>
    <row r="553" spans="1:17" ht="14.25" customHeight="1" x14ac:dyDescent="0.25">
      <c r="A553" s="4"/>
      <c r="B553" s="21">
        <v>44214</v>
      </c>
      <c r="C553" s="5">
        <f t="shared" si="16"/>
        <v>4</v>
      </c>
      <c r="D553" s="5">
        <f t="shared" si="17"/>
        <v>2</v>
      </c>
      <c r="E553" s="1" t="s">
        <v>7</v>
      </c>
      <c r="F553" s="1" t="s">
        <v>14</v>
      </c>
      <c r="G553">
        <v>47651</v>
      </c>
      <c r="H553">
        <v>100579</v>
      </c>
      <c r="I553" s="4"/>
      <c r="J553" s="22">
        <v>0.42569444444444443</v>
      </c>
      <c r="K553" s="22">
        <v>0.89097222222222217</v>
      </c>
      <c r="L553" s="4"/>
      <c r="M553" s="4"/>
      <c r="N553" t="s">
        <v>1427</v>
      </c>
      <c r="O553" s="4"/>
      <c r="P553" t="s">
        <v>551</v>
      </c>
      <c r="Q553">
        <v>2</v>
      </c>
    </row>
    <row r="554" spans="1:17" ht="14.25" customHeight="1" x14ac:dyDescent="0.25">
      <c r="A554" s="4"/>
      <c r="B554" s="21">
        <v>44214</v>
      </c>
      <c r="C554" s="5">
        <f t="shared" si="16"/>
        <v>4</v>
      </c>
      <c r="D554" s="5">
        <f t="shared" si="17"/>
        <v>2</v>
      </c>
      <c r="E554" s="1" t="s">
        <v>5</v>
      </c>
      <c r="F554" s="1" t="s">
        <v>20</v>
      </c>
      <c r="G554">
        <v>47652</v>
      </c>
      <c r="H554">
        <v>100580</v>
      </c>
      <c r="I554" s="4"/>
      <c r="J554" s="22">
        <v>0.25138888888888888</v>
      </c>
      <c r="K554" s="22">
        <v>0.4291666666666667</v>
      </c>
      <c r="L554" s="4"/>
      <c r="M554" s="4"/>
      <c r="N554" t="s">
        <v>1428</v>
      </c>
      <c r="O554" s="4"/>
      <c r="P554" t="s">
        <v>552</v>
      </c>
      <c r="Q554">
        <v>24</v>
      </c>
    </row>
    <row r="555" spans="1:17" ht="14.25" customHeight="1" x14ac:dyDescent="0.25">
      <c r="A555" s="4"/>
      <c r="B555" s="21">
        <v>44214</v>
      </c>
      <c r="C555" s="5">
        <f t="shared" si="16"/>
        <v>4</v>
      </c>
      <c r="D555" s="5">
        <f t="shared" si="17"/>
        <v>2</v>
      </c>
      <c r="E555" s="1" t="s">
        <v>7</v>
      </c>
      <c r="F555" s="1" t="s">
        <v>14</v>
      </c>
      <c r="G555">
        <v>47652</v>
      </c>
      <c r="H555">
        <v>100580</v>
      </c>
      <c r="I555" s="4"/>
      <c r="J555" s="22">
        <v>0.34375</v>
      </c>
      <c r="K555" s="22">
        <v>0.78055555555555556</v>
      </c>
      <c r="L555" s="4"/>
      <c r="M555" s="4"/>
      <c r="N555" t="s">
        <v>1429</v>
      </c>
      <c r="O555" s="4"/>
      <c r="P555" t="s">
        <v>553</v>
      </c>
      <c r="Q555">
        <v>7</v>
      </c>
    </row>
    <row r="556" spans="1:17" ht="14.25" customHeight="1" x14ac:dyDescent="0.25">
      <c r="A556" s="4"/>
      <c r="B556" s="21">
        <v>44214</v>
      </c>
      <c r="C556" s="5">
        <f t="shared" si="16"/>
        <v>4</v>
      </c>
      <c r="D556" s="5">
        <f t="shared" si="17"/>
        <v>2</v>
      </c>
      <c r="E556" s="1" t="s">
        <v>5</v>
      </c>
      <c r="F556" s="1" t="s">
        <v>20</v>
      </c>
      <c r="G556">
        <v>47655</v>
      </c>
      <c r="H556">
        <v>100581</v>
      </c>
      <c r="I556" s="4"/>
      <c r="J556" s="22">
        <v>0.36458333333333331</v>
      </c>
      <c r="K556" s="22">
        <v>0.10555555555555556</v>
      </c>
      <c r="L556" s="4"/>
      <c r="M556" s="4"/>
      <c r="N556" t="s">
        <v>1430</v>
      </c>
      <c r="O556" s="4"/>
      <c r="P556" t="s">
        <v>554</v>
      </c>
      <c r="Q556">
        <v>9</v>
      </c>
    </row>
    <row r="557" spans="1:17" ht="14.25" customHeight="1" x14ac:dyDescent="0.25">
      <c r="A557" s="4"/>
      <c r="B557" s="21">
        <v>44214</v>
      </c>
      <c r="C557" s="5">
        <f t="shared" si="16"/>
        <v>4</v>
      </c>
      <c r="D557" s="5">
        <f t="shared" si="17"/>
        <v>2</v>
      </c>
      <c r="E557" s="1" t="s">
        <v>7</v>
      </c>
      <c r="F557" s="1" t="s">
        <v>15</v>
      </c>
      <c r="G557">
        <v>47656</v>
      </c>
      <c r="H557">
        <v>100582</v>
      </c>
      <c r="I557" s="4"/>
      <c r="J557" s="22">
        <v>0.49791666666666662</v>
      </c>
      <c r="K557" s="22">
        <v>8.0555555555555561E-2</v>
      </c>
      <c r="L557" s="4"/>
      <c r="M557" s="4"/>
      <c r="N557" t="s">
        <v>1431</v>
      </c>
      <c r="O557" s="4"/>
      <c r="P557" t="s">
        <v>555</v>
      </c>
      <c r="Q557">
        <v>10</v>
      </c>
    </row>
    <row r="558" spans="1:17" ht="14.25" customHeight="1" x14ac:dyDescent="0.25">
      <c r="A558" s="4"/>
      <c r="B558" s="21">
        <v>44214</v>
      </c>
      <c r="C558" s="5">
        <f t="shared" si="16"/>
        <v>4</v>
      </c>
      <c r="D558" s="5">
        <f t="shared" si="17"/>
        <v>2</v>
      </c>
      <c r="E558" s="1" t="s">
        <v>6</v>
      </c>
      <c r="F558" s="1" t="s">
        <v>13</v>
      </c>
      <c r="G558">
        <v>47656</v>
      </c>
      <c r="H558">
        <v>100582</v>
      </c>
      <c r="I558" s="4"/>
      <c r="J558" s="22">
        <v>0.30069444444444443</v>
      </c>
      <c r="K558" s="22">
        <v>0.64027777777777783</v>
      </c>
      <c r="L558" s="4"/>
      <c r="M558" s="4"/>
      <c r="N558" t="s">
        <v>1432</v>
      </c>
      <c r="O558" s="4"/>
      <c r="P558" t="s">
        <v>131</v>
      </c>
      <c r="Q558">
        <v>33</v>
      </c>
    </row>
    <row r="559" spans="1:17" ht="14.25" customHeight="1" x14ac:dyDescent="0.25">
      <c r="A559" s="4"/>
      <c r="B559" s="21">
        <v>44214</v>
      </c>
      <c r="C559" s="5">
        <f t="shared" si="16"/>
        <v>4</v>
      </c>
      <c r="D559" s="5">
        <f t="shared" si="17"/>
        <v>2</v>
      </c>
      <c r="E559" s="1" t="s">
        <v>7</v>
      </c>
      <c r="F559" s="1" t="s">
        <v>16</v>
      </c>
      <c r="G559">
        <v>47656</v>
      </c>
      <c r="H559">
        <v>100586</v>
      </c>
      <c r="I559" s="4"/>
      <c r="J559" s="22">
        <v>0.49652777777777773</v>
      </c>
      <c r="K559" s="22">
        <v>0.54166666666666663</v>
      </c>
      <c r="L559" s="4"/>
      <c r="M559" s="4"/>
      <c r="N559" t="s">
        <v>1433</v>
      </c>
      <c r="O559" s="4"/>
      <c r="P559" t="s">
        <v>556</v>
      </c>
      <c r="Q559">
        <v>9</v>
      </c>
    </row>
    <row r="560" spans="1:17" ht="14.25" customHeight="1" x14ac:dyDescent="0.25">
      <c r="A560" s="4"/>
      <c r="B560" s="21">
        <v>44214</v>
      </c>
      <c r="C560" s="5">
        <f t="shared" si="16"/>
        <v>4</v>
      </c>
      <c r="D560" s="5">
        <f t="shared" si="17"/>
        <v>2</v>
      </c>
      <c r="E560" s="1" t="s">
        <v>7</v>
      </c>
      <c r="F560" s="1" t="s">
        <v>16</v>
      </c>
      <c r="G560">
        <v>47657</v>
      </c>
      <c r="H560">
        <v>100587</v>
      </c>
      <c r="I560" s="4"/>
      <c r="J560" s="22">
        <v>0.37777777777777777</v>
      </c>
      <c r="K560" s="22">
        <v>0.46319444444444446</v>
      </c>
      <c r="L560" s="4"/>
      <c r="M560" s="4"/>
      <c r="N560" t="s">
        <v>1434</v>
      </c>
      <c r="O560" s="4"/>
      <c r="P560" t="s">
        <v>557</v>
      </c>
      <c r="Q560">
        <v>14</v>
      </c>
    </row>
    <row r="561" spans="1:17" ht="14.25" customHeight="1" x14ac:dyDescent="0.25">
      <c r="A561" s="4"/>
      <c r="B561" s="21">
        <v>44214</v>
      </c>
      <c r="C561" s="5">
        <f t="shared" si="16"/>
        <v>4</v>
      </c>
      <c r="D561" s="5">
        <f t="shared" si="17"/>
        <v>2</v>
      </c>
      <c r="E561" s="1" t="s">
        <v>6</v>
      </c>
      <c r="F561" s="1" t="s">
        <v>12</v>
      </c>
      <c r="G561">
        <v>47658</v>
      </c>
      <c r="H561">
        <v>100588</v>
      </c>
      <c r="I561" s="4"/>
      <c r="J561" s="22">
        <v>0.31944444444444448</v>
      </c>
      <c r="K561" s="22">
        <v>0.18333333333333335</v>
      </c>
      <c r="L561" s="4"/>
      <c r="M561" s="4"/>
      <c r="N561" t="s">
        <v>1435</v>
      </c>
      <c r="O561" s="4"/>
      <c r="P561" t="s">
        <v>336</v>
      </c>
      <c r="Q561">
        <v>9</v>
      </c>
    </row>
    <row r="562" spans="1:17" ht="14.25" customHeight="1" x14ac:dyDescent="0.25">
      <c r="A562" s="4"/>
      <c r="B562" s="21">
        <v>44214</v>
      </c>
      <c r="C562" s="5">
        <f t="shared" si="16"/>
        <v>4</v>
      </c>
      <c r="D562" s="5">
        <f t="shared" si="17"/>
        <v>2</v>
      </c>
      <c r="E562" s="1" t="s">
        <v>6</v>
      </c>
      <c r="F562" s="1" t="s">
        <v>11</v>
      </c>
      <c r="G562">
        <v>47661</v>
      </c>
      <c r="H562">
        <v>100590</v>
      </c>
      <c r="I562" s="4"/>
      <c r="J562" s="22">
        <v>0.4375</v>
      </c>
      <c r="K562" s="22">
        <v>0.55277777777777781</v>
      </c>
      <c r="L562" s="4"/>
      <c r="M562" s="4"/>
      <c r="N562" t="s">
        <v>1436</v>
      </c>
      <c r="O562" s="4"/>
      <c r="P562" t="s">
        <v>558</v>
      </c>
      <c r="Q562">
        <v>20</v>
      </c>
    </row>
    <row r="563" spans="1:17" ht="14.25" customHeight="1" x14ac:dyDescent="0.25">
      <c r="A563" s="4"/>
      <c r="B563" s="21">
        <v>44214</v>
      </c>
      <c r="C563" s="5">
        <f t="shared" si="16"/>
        <v>4</v>
      </c>
      <c r="D563" s="5">
        <f t="shared" si="17"/>
        <v>2</v>
      </c>
      <c r="E563" s="1" t="s">
        <v>7</v>
      </c>
      <c r="F563" s="1" t="s">
        <v>16</v>
      </c>
      <c r="G563">
        <v>47664</v>
      </c>
      <c r="H563">
        <v>100591</v>
      </c>
      <c r="I563" s="4"/>
      <c r="J563" s="22">
        <v>0.45902777777777781</v>
      </c>
      <c r="K563" s="22">
        <v>0.35416666666666669</v>
      </c>
      <c r="L563" s="4"/>
      <c r="M563" s="4"/>
      <c r="N563" t="s">
        <v>1437</v>
      </c>
      <c r="O563" s="4"/>
      <c r="P563" t="s">
        <v>559</v>
      </c>
      <c r="Q563">
        <v>27</v>
      </c>
    </row>
    <row r="564" spans="1:17" ht="14.25" customHeight="1" x14ac:dyDescent="0.25">
      <c r="A564" s="4"/>
      <c r="B564" s="21">
        <v>44214</v>
      </c>
      <c r="C564" s="5">
        <f t="shared" si="16"/>
        <v>4</v>
      </c>
      <c r="D564" s="5">
        <f t="shared" si="17"/>
        <v>2</v>
      </c>
      <c r="E564" s="1" t="s">
        <v>6</v>
      </c>
      <c r="F564" s="1" t="s">
        <v>11</v>
      </c>
      <c r="G564">
        <v>47665</v>
      </c>
      <c r="H564">
        <v>100592</v>
      </c>
      <c r="I564" s="4"/>
      <c r="J564" s="22">
        <v>0.41388888888888892</v>
      </c>
      <c r="K564" s="22">
        <v>0.27083333333333331</v>
      </c>
      <c r="L564" s="4"/>
      <c r="M564" s="4"/>
      <c r="N564" t="s">
        <v>1438</v>
      </c>
      <c r="O564" s="4"/>
      <c r="P564" t="s">
        <v>560</v>
      </c>
      <c r="Q564">
        <v>20</v>
      </c>
    </row>
    <row r="565" spans="1:17" ht="14.25" customHeight="1" x14ac:dyDescent="0.25">
      <c r="A565" s="4"/>
      <c r="B565" s="21">
        <v>44214</v>
      </c>
      <c r="C565" s="5">
        <f t="shared" si="16"/>
        <v>4</v>
      </c>
      <c r="D565" s="5">
        <f t="shared" si="17"/>
        <v>2</v>
      </c>
      <c r="E565" s="1" t="s">
        <v>5</v>
      </c>
      <c r="F565" s="1" t="s">
        <v>20</v>
      </c>
      <c r="G565">
        <v>47665</v>
      </c>
      <c r="H565">
        <v>100592</v>
      </c>
      <c r="I565" s="4"/>
      <c r="J565" s="22">
        <v>0.46319444444444446</v>
      </c>
      <c r="K565" s="22">
        <v>0.83958333333333324</v>
      </c>
      <c r="L565" s="4"/>
      <c r="M565" s="4"/>
      <c r="N565" t="s">
        <v>1439</v>
      </c>
      <c r="O565" s="4"/>
      <c r="P565" t="s">
        <v>368</v>
      </c>
      <c r="Q565">
        <v>12</v>
      </c>
    </row>
    <row r="566" spans="1:17" ht="14.25" customHeight="1" x14ac:dyDescent="0.25">
      <c r="A566" s="4"/>
      <c r="B566" s="21">
        <v>44215</v>
      </c>
      <c r="C566" s="5">
        <f t="shared" si="16"/>
        <v>4</v>
      </c>
      <c r="D566" s="5">
        <f t="shared" si="17"/>
        <v>3</v>
      </c>
      <c r="E566" s="1" t="s">
        <v>5</v>
      </c>
      <c r="F566" s="1" t="s">
        <v>17</v>
      </c>
      <c r="G566">
        <v>47666</v>
      </c>
      <c r="H566">
        <v>100593</v>
      </c>
      <c r="I566" s="4"/>
      <c r="J566" s="22">
        <v>0.33263888888888887</v>
      </c>
      <c r="K566" s="22">
        <v>0.5180555555555556</v>
      </c>
      <c r="L566" s="4"/>
      <c r="M566" s="4"/>
      <c r="N566" t="s">
        <v>1440</v>
      </c>
      <c r="O566" s="4"/>
      <c r="P566" t="s">
        <v>393</v>
      </c>
      <c r="Q566">
        <v>14</v>
      </c>
    </row>
    <row r="567" spans="1:17" ht="14.25" customHeight="1" x14ac:dyDescent="0.25">
      <c r="A567" s="4"/>
      <c r="B567" s="21">
        <v>44215</v>
      </c>
      <c r="C567" s="5">
        <f t="shared" si="16"/>
        <v>4</v>
      </c>
      <c r="D567" s="5">
        <f t="shared" si="17"/>
        <v>3</v>
      </c>
      <c r="E567" s="1" t="s">
        <v>6</v>
      </c>
      <c r="F567" s="1" t="s">
        <v>11</v>
      </c>
      <c r="G567">
        <v>47667</v>
      </c>
      <c r="H567">
        <v>100593</v>
      </c>
      <c r="I567" s="4"/>
      <c r="J567" s="22">
        <v>0.40069444444444446</v>
      </c>
      <c r="K567" s="22">
        <v>0.24861111111111112</v>
      </c>
      <c r="L567" s="4"/>
      <c r="M567" s="4"/>
      <c r="N567" t="s">
        <v>1441</v>
      </c>
      <c r="O567" s="4"/>
      <c r="P567" t="s">
        <v>561</v>
      </c>
      <c r="Q567">
        <v>4</v>
      </c>
    </row>
    <row r="568" spans="1:17" ht="14.25" customHeight="1" x14ac:dyDescent="0.25">
      <c r="A568" s="4"/>
      <c r="B568" s="21">
        <v>44215</v>
      </c>
      <c r="C568" s="5">
        <f t="shared" si="16"/>
        <v>4</v>
      </c>
      <c r="D568" s="5">
        <f t="shared" si="17"/>
        <v>3</v>
      </c>
      <c r="E568" s="1" t="s">
        <v>5</v>
      </c>
      <c r="F568" s="1" t="s">
        <v>17</v>
      </c>
      <c r="G568">
        <v>47667</v>
      </c>
      <c r="H568">
        <v>100595</v>
      </c>
      <c r="I568" s="4"/>
      <c r="J568" s="22">
        <v>0.43611111111111112</v>
      </c>
      <c r="K568" s="22">
        <v>0.23055555555555554</v>
      </c>
      <c r="L568" s="4"/>
      <c r="M568" s="4"/>
      <c r="N568" t="s">
        <v>1442</v>
      </c>
      <c r="O568" s="4"/>
      <c r="P568" t="s">
        <v>562</v>
      </c>
      <c r="Q568">
        <v>24</v>
      </c>
    </row>
    <row r="569" spans="1:17" ht="14.25" customHeight="1" x14ac:dyDescent="0.25">
      <c r="A569" s="4"/>
      <c r="B569" s="21">
        <v>44215</v>
      </c>
      <c r="C569" s="5">
        <f t="shared" si="16"/>
        <v>4</v>
      </c>
      <c r="D569" s="5">
        <f t="shared" si="17"/>
        <v>3</v>
      </c>
      <c r="E569" s="1" t="s">
        <v>7</v>
      </c>
      <c r="F569" s="1" t="s">
        <v>14</v>
      </c>
      <c r="G569">
        <v>47668</v>
      </c>
      <c r="H569">
        <v>100597</v>
      </c>
      <c r="I569" s="4"/>
      <c r="J569" s="22">
        <v>0.30416666666666664</v>
      </c>
      <c r="K569" s="22">
        <v>0.75347222222222221</v>
      </c>
      <c r="L569" s="4"/>
      <c r="M569" s="4"/>
      <c r="N569" t="s">
        <v>1443</v>
      </c>
      <c r="O569" s="4"/>
      <c r="P569" t="s">
        <v>563</v>
      </c>
      <c r="Q569">
        <v>1</v>
      </c>
    </row>
    <row r="570" spans="1:17" ht="14.25" customHeight="1" x14ac:dyDescent="0.25">
      <c r="A570" s="4"/>
      <c r="B570" s="21">
        <v>44215</v>
      </c>
      <c r="C570" s="5">
        <f t="shared" si="16"/>
        <v>4</v>
      </c>
      <c r="D570" s="5">
        <f t="shared" si="17"/>
        <v>3</v>
      </c>
      <c r="E570" s="1" t="s">
        <v>5</v>
      </c>
      <c r="F570" s="1" t="s">
        <v>20</v>
      </c>
      <c r="G570">
        <v>47669</v>
      </c>
      <c r="H570">
        <v>100597</v>
      </c>
      <c r="I570" s="4"/>
      <c r="J570" s="22">
        <v>0.33194444444444443</v>
      </c>
      <c r="K570" s="22">
        <v>0.98055555555555562</v>
      </c>
      <c r="L570" s="4"/>
      <c r="M570" s="4"/>
      <c r="N570" t="s">
        <v>1444</v>
      </c>
      <c r="O570" s="4"/>
      <c r="P570" t="s">
        <v>564</v>
      </c>
      <c r="Q570">
        <v>2</v>
      </c>
    </row>
    <row r="571" spans="1:17" ht="14.25" customHeight="1" x14ac:dyDescent="0.25">
      <c r="A571" s="4"/>
      <c r="B571" s="21">
        <v>44215</v>
      </c>
      <c r="C571" s="5">
        <f t="shared" si="16"/>
        <v>4</v>
      </c>
      <c r="D571" s="5">
        <f t="shared" si="17"/>
        <v>3</v>
      </c>
      <c r="E571" s="1" t="s">
        <v>5</v>
      </c>
      <c r="F571" s="1" t="s">
        <v>17</v>
      </c>
      <c r="G571">
        <v>47669</v>
      </c>
      <c r="H571">
        <v>100598</v>
      </c>
      <c r="I571" s="4"/>
      <c r="J571" s="22">
        <v>0.44513888888888892</v>
      </c>
      <c r="K571" s="22">
        <v>0.34930555555555554</v>
      </c>
      <c r="L571" s="4"/>
      <c r="M571" s="4"/>
      <c r="N571" t="s">
        <v>1445</v>
      </c>
      <c r="O571" s="4"/>
      <c r="P571" t="s">
        <v>565</v>
      </c>
      <c r="Q571">
        <v>9</v>
      </c>
    </row>
    <row r="572" spans="1:17" ht="14.25" customHeight="1" x14ac:dyDescent="0.25">
      <c r="A572" s="4"/>
      <c r="B572" s="21">
        <v>44215</v>
      </c>
      <c r="C572" s="5">
        <f t="shared" si="16"/>
        <v>4</v>
      </c>
      <c r="D572" s="5">
        <f t="shared" si="17"/>
        <v>3</v>
      </c>
      <c r="E572" s="1" t="s">
        <v>6</v>
      </c>
      <c r="F572" s="1" t="s">
        <v>11</v>
      </c>
      <c r="G572">
        <v>47670</v>
      </c>
      <c r="H572">
        <v>100599</v>
      </c>
      <c r="I572" s="4"/>
      <c r="J572" s="22">
        <v>0.29375000000000001</v>
      </c>
      <c r="K572" s="22">
        <v>0.9902777777777777</v>
      </c>
      <c r="L572" s="4"/>
      <c r="M572" s="4"/>
      <c r="N572" t="s">
        <v>1446</v>
      </c>
      <c r="O572" s="4"/>
      <c r="P572" t="s">
        <v>566</v>
      </c>
      <c r="Q572">
        <v>19</v>
      </c>
    </row>
    <row r="573" spans="1:17" ht="14.25" customHeight="1" x14ac:dyDescent="0.25">
      <c r="A573" s="4"/>
      <c r="B573" s="21">
        <v>44215</v>
      </c>
      <c r="C573" s="5">
        <f t="shared" si="16"/>
        <v>4</v>
      </c>
      <c r="D573" s="5">
        <f t="shared" si="17"/>
        <v>3</v>
      </c>
      <c r="E573" s="1" t="s">
        <v>5</v>
      </c>
      <c r="F573" s="1" t="s">
        <v>17</v>
      </c>
      <c r="G573">
        <v>47673</v>
      </c>
      <c r="H573">
        <v>100599</v>
      </c>
      <c r="I573" s="4"/>
      <c r="J573" s="22">
        <v>0.32222222222222224</v>
      </c>
      <c r="K573" s="22">
        <v>0.51874999999999993</v>
      </c>
      <c r="L573" s="4"/>
      <c r="M573" s="4"/>
      <c r="N573" t="s">
        <v>1447</v>
      </c>
      <c r="O573" s="4"/>
      <c r="P573" t="s">
        <v>319</v>
      </c>
      <c r="Q573">
        <v>21</v>
      </c>
    </row>
    <row r="574" spans="1:17" ht="14.25" customHeight="1" x14ac:dyDescent="0.25">
      <c r="A574" s="4"/>
      <c r="B574" s="21">
        <v>44215</v>
      </c>
      <c r="C574" s="5">
        <f t="shared" si="16"/>
        <v>4</v>
      </c>
      <c r="D574" s="5">
        <f t="shared" si="17"/>
        <v>3</v>
      </c>
      <c r="E574" s="1" t="s">
        <v>7</v>
      </c>
      <c r="F574" s="1" t="s">
        <v>15</v>
      </c>
      <c r="G574">
        <v>47674</v>
      </c>
      <c r="H574">
        <v>100600</v>
      </c>
      <c r="I574" s="4"/>
      <c r="J574" s="22">
        <v>0.39374999999999999</v>
      </c>
      <c r="K574" s="22">
        <v>0.92361111111111116</v>
      </c>
      <c r="L574" s="4"/>
      <c r="M574" s="4"/>
      <c r="N574" t="s">
        <v>1448</v>
      </c>
      <c r="O574" s="4"/>
      <c r="P574" t="s">
        <v>567</v>
      </c>
      <c r="Q574">
        <v>10</v>
      </c>
    </row>
    <row r="575" spans="1:17" ht="14.25" customHeight="1" x14ac:dyDescent="0.25">
      <c r="A575" s="4"/>
      <c r="B575" s="21">
        <v>44215</v>
      </c>
      <c r="C575" s="5">
        <f t="shared" si="16"/>
        <v>4</v>
      </c>
      <c r="D575" s="5">
        <f t="shared" si="17"/>
        <v>3</v>
      </c>
      <c r="E575" s="1" t="s">
        <v>5</v>
      </c>
      <c r="F575" s="1" t="s">
        <v>20</v>
      </c>
      <c r="G575">
        <v>47676</v>
      </c>
      <c r="H575">
        <v>100600</v>
      </c>
      <c r="I575" s="4"/>
      <c r="J575" s="22">
        <v>0.33055555555555555</v>
      </c>
      <c r="K575" s="22">
        <v>0.47638888888888892</v>
      </c>
      <c r="L575" s="4"/>
      <c r="M575" s="4"/>
      <c r="N575" t="s">
        <v>1449</v>
      </c>
      <c r="O575" s="4"/>
      <c r="P575" t="s">
        <v>568</v>
      </c>
      <c r="Q575">
        <v>26</v>
      </c>
    </row>
    <row r="576" spans="1:17" ht="14.25" customHeight="1" x14ac:dyDescent="0.25">
      <c r="A576" s="4"/>
      <c r="B576" s="21">
        <v>44215</v>
      </c>
      <c r="C576" s="5">
        <f t="shared" si="16"/>
        <v>4</v>
      </c>
      <c r="D576" s="5">
        <f t="shared" si="17"/>
        <v>3</v>
      </c>
      <c r="E576" s="1" t="s">
        <v>5</v>
      </c>
      <c r="F576" s="1" t="s">
        <v>18</v>
      </c>
      <c r="G576">
        <v>47676</v>
      </c>
      <c r="H576">
        <v>100602</v>
      </c>
      <c r="I576" s="4"/>
      <c r="J576" s="22">
        <v>0.4201388888888889</v>
      </c>
      <c r="K576" s="22">
        <v>0.68472222222222223</v>
      </c>
      <c r="L576" s="4"/>
      <c r="M576" s="4"/>
      <c r="N576" t="s">
        <v>1450</v>
      </c>
      <c r="O576" s="4"/>
      <c r="P576" t="s">
        <v>569</v>
      </c>
      <c r="Q576">
        <v>23</v>
      </c>
    </row>
    <row r="577" spans="1:17" ht="14.25" customHeight="1" x14ac:dyDescent="0.25">
      <c r="A577" s="4"/>
      <c r="B577" s="21">
        <v>44215</v>
      </c>
      <c r="C577" s="5">
        <f t="shared" si="16"/>
        <v>4</v>
      </c>
      <c r="D577" s="5">
        <f t="shared" si="17"/>
        <v>3</v>
      </c>
      <c r="E577" s="1" t="s">
        <v>5</v>
      </c>
      <c r="F577" s="1" t="s">
        <v>19</v>
      </c>
      <c r="G577">
        <v>47676</v>
      </c>
      <c r="H577">
        <v>100602</v>
      </c>
      <c r="I577" s="4"/>
      <c r="J577" s="22">
        <v>0.37986111111111115</v>
      </c>
      <c r="K577" s="22">
        <v>0.92361111111111116</v>
      </c>
      <c r="L577" s="4"/>
      <c r="M577" s="4"/>
      <c r="N577" t="s">
        <v>1451</v>
      </c>
      <c r="O577" s="4"/>
      <c r="P577" t="s">
        <v>570</v>
      </c>
      <c r="Q577">
        <v>27</v>
      </c>
    </row>
    <row r="578" spans="1:17" ht="14.25" customHeight="1" x14ac:dyDescent="0.25">
      <c r="A578" s="4"/>
      <c r="B578" s="21">
        <v>44215</v>
      </c>
      <c r="C578" s="5">
        <f t="shared" si="16"/>
        <v>4</v>
      </c>
      <c r="D578" s="5">
        <f t="shared" si="17"/>
        <v>3</v>
      </c>
      <c r="E578" s="1" t="s">
        <v>7</v>
      </c>
      <c r="F578" s="1" t="s">
        <v>14</v>
      </c>
      <c r="G578">
        <v>47677</v>
      </c>
      <c r="H578">
        <v>100602</v>
      </c>
      <c r="I578" s="4"/>
      <c r="J578" s="22">
        <v>0.40347222222222223</v>
      </c>
      <c r="K578" s="22">
        <v>0.49583333333333335</v>
      </c>
      <c r="L578" s="4"/>
      <c r="M578" s="4"/>
      <c r="N578" t="s">
        <v>1452</v>
      </c>
      <c r="O578" s="4"/>
      <c r="P578" t="s">
        <v>571</v>
      </c>
      <c r="Q578">
        <v>13</v>
      </c>
    </row>
    <row r="579" spans="1:17" ht="14.25" customHeight="1" x14ac:dyDescent="0.25">
      <c r="A579" s="4"/>
      <c r="B579" s="21">
        <v>44215</v>
      </c>
      <c r="C579" s="5">
        <f t="shared" ref="C579:C642" si="18">WEEKNUM(B579)</f>
        <v>4</v>
      </c>
      <c r="D579" s="5">
        <f t="shared" ref="D579:D642" si="19">WEEKDAY(B579)</f>
        <v>3</v>
      </c>
      <c r="E579" s="1" t="s">
        <v>7</v>
      </c>
      <c r="F579" s="1" t="s">
        <v>16</v>
      </c>
      <c r="G579">
        <v>47679</v>
      </c>
      <c r="H579">
        <v>100603</v>
      </c>
      <c r="I579" s="4"/>
      <c r="J579" s="22">
        <v>0.38680555555555557</v>
      </c>
      <c r="K579" s="22">
        <v>0.89166666666666661</v>
      </c>
      <c r="L579" s="4"/>
      <c r="M579" s="4"/>
      <c r="N579" t="s">
        <v>1453</v>
      </c>
      <c r="O579" s="4"/>
      <c r="P579" t="s">
        <v>223</v>
      </c>
      <c r="Q579">
        <v>20</v>
      </c>
    </row>
    <row r="580" spans="1:17" ht="14.25" customHeight="1" x14ac:dyDescent="0.25">
      <c r="A580" s="4"/>
      <c r="B580" s="21">
        <v>44215</v>
      </c>
      <c r="C580" s="5">
        <f t="shared" si="18"/>
        <v>4</v>
      </c>
      <c r="D580" s="5">
        <f t="shared" si="19"/>
        <v>3</v>
      </c>
      <c r="E580" s="1" t="s">
        <v>7</v>
      </c>
      <c r="F580" s="1" t="s">
        <v>16</v>
      </c>
      <c r="G580">
        <v>47681</v>
      </c>
      <c r="H580">
        <v>100604</v>
      </c>
      <c r="I580" s="4"/>
      <c r="J580" s="22">
        <v>0.30624999999999997</v>
      </c>
      <c r="K580" s="22">
        <v>0.2076388888888889</v>
      </c>
      <c r="L580" s="4"/>
      <c r="M580" s="4"/>
      <c r="N580" t="s">
        <v>1454</v>
      </c>
      <c r="O580" s="4"/>
      <c r="P580" t="s">
        <v>572</v>
      </c>
      <c r="Q580">
        <v>20</v>
      </c>
    </row>
    <row r="581" spans="1:17" ht="14.25" customHeight="1" x14ac:dyDescent="0.25">
      <c r="A581" s="4"/>
      <c r="B581" s="21">
        <v>44215</v>
      </c>
      <c r="C581" s="5">
        <f t="shared" si="18"/>
        <v>4</v>
      </c>
      <c r="D581" s="5">
        <f t="shared" si="19"/>
        <v>3</v>
      </c>
      <c r="E581" s="1" t="s">
        <v>6</v>
      </c>
      <c r="F581" s="1" t="s">
        <v>12</v>
      </c>
      <c r="G581">
        <v>47681</v>
      </c>
      <c r="H581">
        <v>100604</v>
      </c>
      <c r="I581" s="4"/>
      <c r="J581" s="22">
        <v>0.36458333333333331</v>
      </c>
      <c r="K581" s="22">
        <v>0.57361111111111118</v>
      </c>
      <c r="L581" s="4"/>
      <c r="M581" s="4"/>
      <c r="N581" t="s">
        <v>1455</v>
      </c>
      <c r="O581" s="4"/>
      <c r="P581" t="s">
        <v>378</v>
      </c>
      <c r="Q581">
        <v>5</v>
      </c>
    </row>
    <row r="582" spans="1:17" ht="14.25" customHeight="1" x14ac:dyDescent="0.25">
      <c r="A582" s="4"/>
      <c r="B582" s="21">
        <v>44215</v>
      </c>
      <c r="C582" s="5">
        <f t="shared" si="18"/>
        <v>4</v>
      </c>
      <c r="D582" s="5">
        <f t="shared" si="19"/>
        <v>3</v>
      </c>
      <c r="E582" s="1" t="s">
        <v>7</v>
      </c>
      <c r="F582" s="1" t="s">
        <v>15</v>
      </c>
      <c r="G582">
        <v>47681</v>
      </c>
      <c r="H582">
        <v>100604</v>
      </c>
      <c r="I582" s="4"/>
      <c r="J582" s="22">
        <v>0.42430555555555555</v>
      </c>
      <c r="K582" s="22">
        <v>0.51388888888888895</v>
      </c>
      <c r="L582" s="4"/>
      <c r="M582" s="4"/>
      <c r="N582" t="s">
        <v>1456</v>
      </c>
      <c r="O582" s="4"/>
      <c r="P582" t="s">
        <v>573</v>
      </c>
      <c r="Q582">
        <v>10</v>
      </c>
    </row>
    <row r="583" spans="1:17" ht="14.25" customHeight="1" x14ac:dyDescent="0.25">
      <c r="A583" s="4"/>
      <c r="B583" s="21">
        <v>44215</v>
      </c>
      <c r="C583" s="5">
        <f t="shared" si="18"/>
        <v>4</v>
      </c>
      <c r="D583" s="5">
        <f t="shared" si="19"/>
        <v>3</v>
      </c>
      <c r="E583" s="1" t="s">
        <v>5</v>
      </c>
      <c r="F583" s="1" t="s">
        <v>19</v>
      </c>
      <c r="G583">
        <v>47682</v>
      </c>
      <c r="H583">
        <v>100604</v>
      </c>
      <c r="I583" s="4"/>
      <c r="J583" s="22">
        <v>0.36944444444444446</v>
      </c>
      <c r="K583" s="22">
        <v>0.5131944444444444</v>
      </c>
      <c r="L583" s="4"/>
      <c r="M583" s="4"/>
      <c r="N583" t="s">
        <v>1457</v>
      </c>
      <c r="O583" s="4"/>
      <c r="P583" t="s">
        <v>574</v>
      </c>
      <c r="Q583">
        <v>24</v>
      </c>
    </row>
    <row r="584" spans="1:17" ht="14.25" customHeight="1" x14ac:dyDescent="0.25">
      <c r="A584" s="4"/>
      <c r="B584" s="21">
        <v>44215</v>
      </c>
      <c r="C584" s="5">
        <f t="shared" si="18"/>
        <v>4</v>
      </c>
      <c r="D584" s="5">
        <f t="shared" si="19"/>
        <v>3</v>
      </c>
      <c r="E584" s="1" t="s">
        <v>7</v>
      </c>
      <c r="F584" s="1" t="s">
        <v>14</v>
      </c>
      <c r="G584">
        <v>47682</v>
      </c>
      <c r="H584">
        <v>100605</v>
      </c>
      <c r="I584" s="4"/>
      <c r="J584" s="22">
        <v>0.37222222222222223</v>
      </c>
      <c r="K584" s="22">
        <v>0.72152777777777777</v>
      </c>
      <c r="L584" s="4"/>
      <c r="M584" s="4"/>
      <c r="N584" t="s">
        <v>1458</v>
      </c>
      <c r="O584" s="4"/>
      <c r="P584" t="s">
        <v>575</v>
      </c>
      <c r="Q584">
        <v>9</v>
      </c>
    </row>
    <row r="585" spans="1:17" ht="14.25" customHeight="1" x14ac:dyDescent="0.25">
      <c r="A585" s="4"/>
      <c r="B585" s="21">
        <v>44215</v>
      </c>
      <c r="C585" s="5">
        <f t="shared" si="18"/>
        <v>4</v>
      </c>
      <c r="D585" s="5">
        <f t="shared" si="19"/>
        <v>3</v>
      </c>
      <c r="E585" s="1" t="s">
        <v>5</v>
      </c>
      <c r="F585" s="1" t="s">
        <v>19</v>
      </c>
      <c r="G585">
        <v>47683</v>
      </c>
      <c r="H585">
        <v>100607</v>
      </c>
      <c r="I585" s="4"/>
      <c r="J585" s="22">
        <v>0.37986111111111115</v>
      </c>
      <c r="K585" s="22">
        <v>0.92708333333333337</v>
      </c>
      <c r="L585" s="4"/>
      <c r="M585" s="4"/>
      <c r="N585" t="s">
        <v>1459</v>
      </c>
      <c r="O585" s="4"/>
      <c r="P585" t="s">
        <v>576</v>
      </c>
      <c r="Q585">
        <v>4</v>
      </c>
    </row>
    <row r="586" spans="1:17" ht="14.25" customHeight="1" x14ac:dyDescent="0.25">
      <c r="A586" s="4"/>
      <c r="B586" s="21">
        <v>44215</v>
      </c>
      <c r="C586" s="5">
        <f t="shared" si="18"/>
        <v>4</v>
      </c>
      <c r="D586" s="5">
        <f t="shared" si="19"/>
        <v>3</v>
      </c>
      <c r="E586" s="1" t="s">
        <v>7</v>
      </c>
      <c r="F586" s="1" t="s">
        <v>16</v>
      </c>
      <c r="G586">
        <v>47685</v>
      </c>
      <c r="H586">
        <v>100610</v>
      </c>
      <c r="I586" s="4"/>
      <c r="J586" s="22">
        <v>0.48819444444444443</v>
      </c>
      <c r="K586" s="22">
        <v>0.88958333333333339</v>
      </c>
      <c r="L586" s="4"/>
      <c r="M586" s="4"/>
      <c r="N586" t="s">
        <v>1460</v>
      </c>
      <c r="O586" s="4"/>
      <c r="P586" t="s">
        <v>577</v>
      </c>
      <c r="Q586">
        <v>25</v>
      </c>
    </row>
    <row r="587" spans="1:17" ht="14.25" customHeight="1" x14ac:dyDescent="0.25">
      <c r="A587" s="4"/>
      <c r="B587" s="21">
        <v>44215</v>
      </c>
      <c r="C587" s="5">
        <f t="shared" si="18"/>
        <v>4</v>
      </c>
      <c r="D587" s="5">
        <f t="shared" si="19"/>
        <v>3</v>
      </c>
      <c r="E587" s="1" t="s">
        <v>7</v>
      </c>
      <c r="F587" s="1" t="s">
        <v>16</v>
      </c>
      <c r="G587">
        <v>47685</v>
      </c>
      <c r="H587">
        <v>100612</v>
      </c>
      <c r="I587" s="4"/>
      <c r="J587" s="22">
        <v>0.49444444444444446</v>
      </c>
      <c r="K587" s="22">
        <v>0.49374999999999997</v>
      </c>
      <c r="L587" s="4"/>
      <c r="M587" s="4"/>
      <c r="N587" t="s">
        <v>1461</v>
      </c>
      <c r="O587" s="4"/>
      <c r="P587" t="s">
        <v>578</v>
      </c>
      <c r="Q587">
        <v>24</v>
      </c>
    </row>
    <row r="588" spans="1:17" ht="14.25" customHeight="1" x14ac:dyDescent="0.25">
      <c r="A588" s="4"/>
      <c r="B588" s="21">
        <v>44215</v>
      </c>
      <c r="C588" s="5">
        <f t="shared" si="18"/>
        <v>4</v>
      </c>
      <c r="D588" s="5">
        <f t="shared" si="19"/>
        <v>3</v>
      </c>
      <c r="E588" s="1" t="s">
        <v>7</v>
      </c>
      <c r="F588" s="1" t="s">
        <v>15</v>
      </c>
      <c r="G588">
        <v>47685</v>
      </c>
      <c r="H588">
        <v>100613</v>
      </c>
      <c r="I588" s="4"/>
      <c r="J588" s="22">
        <v>0.48958333333333331</v>
      </c>
      <c r="K588" s="22">
        <v>0.45347222222222222</v>
      </c>
      <c r="L588" s="4"/>
      <c r="M588" s="4"/>
      <c r="N588" t="s">
        <v>1462</v>
      </c>
      <c r="O588" s="4"/>
      <c r="P588" t="s">
        <v>579</v>
      </c>
      <c r="Q588">
        <v>14</v>
      </c>
    </row>
    <row r="589" spans="1:17" ht="14.25" customHeight="1" x14ac:dyDescent="0.25">
      <c r="A589" s="4"/>
      <c r="B589" s="21">
        <v>44215</v>
      </c>
      <c r="C589" s="5">
        <f t="shared" si="18"/>
        <v>4</v>
      </c>
      <c r="D589" s="5">
        <f t="shared" si="19"/>
        <v>3</v>
      </c>
      <c r="E589" s="1" t="s">
        <v>7</v>
      </c>
      <c r="F589" s="1" t="s">
        <v>16</v>
      </c>
      <c r="G589">
        <v>47687</v>
      </c>
      <c r="H589">
        <v>100614</v>
      </c>
      <c r="I589" s="4"/>
      <c r="J589" s="22">
        <v>0.45902777777777781</v>
      </c>
      <c r="K589" s="22">
        <v>0.7680555555555556</v>
      </c>
      <c r="L589" s="4"/>
      <c r="M589" s="4"/>
      <c r="N589" t="s">
        <v>1463</v>
      </c>
      <c r="O589" s="4"/>
      <c r="P589" t="s">
        <v>580</v>
      </c>
      <c r="Q589">
        <v>18</v>
      </c>
    </row>
    <row r="590" spans="1:17" ht="14.25" customHeight="1" x14ac:dyDescent="0.25">
      <c r="A590" s="4"/>
      <c r="B590" s="21">
        <v>44215</v>
      </c>
      <c r="C590" s="5">
        <f t="shared" si="18"/>
        <v>4</v>
      </c>
      <c r="D590" s="5">
        <f t="shared" si="19"/>
        <v>3</v>
      </c>
      <c r="E590" s="1" t="s">
        <v>7</v>
      </c>
      <c r="F590" s="1" t="s">
        <v>14</v>
      </c>
      <c r="G590">
        <v>47688</v>
      </c>
      <c r="H590">
        <v>100615</v>
      </c>
      <c r="I590" s="4"/>
      <c r="J590" s="22">
        <v>0.3298611111111111</v>
      </c>
      <c r="K590" s="22">
        <v>0.69513888888888886</v>
      </c>
      <c r="L590" s="4"/>
      <c r="M590" s="4"/>
      <c r="N590" t="s">
        <v>1464</v>
      </c>
      <c r="O590" s="4"/>
      <c r="P590" t="s">
        <v>581</v>
      </c>
      <c r="Q590">
        <v>27</v>
      </c>
    </row>
    <row r="591" spans="1:17" ht="14.25" customHeight="1" x14ac:dyDescent="0.25">
      <c r="A591" s="4"/>
      <c r="B591" s="21">
        <v>44215</v>
      </c>
      <c r="C591" s="5">
        <f t="shared" si="18"/>
        <v>4</v>
      </c>
      <c r="D591" s="5">
        <f t="shared" si="19"/>
        <v>3</v>
      </c>
      <c r="E591" s="1" t="s">
        <v>6</v>
      </c>
      <c r="F591" s="1" t="s">
        <v>12</v>
      </c>
      <c r="G591">
        <v>47690</v>
      </c>
      <c r="H591">
        <v>100616</v>
      </c>
      <c r="I591" s="4"/>
      <c r="J591" s="22">
        <v>0.42499999999999999</v>
      </c>
      <c r="K591" s="22">
        <v>0.4368055555555555</v>
      </c>
      <c r="L591" s="4"/>
      <c r="M591" s="4"/>
      <c r="N591" t="s">
        <v>1465</v>
      </c>
      <c r="O591" s="4"/>
      <c r="P591" t="s">
        <v>136</v>
      </c>
      <c r="Q591">
        <v>17</v>
      </c>
    </row>
    <row r="592" spans="1:17" ht="14.25" customHeight="1" x14ac:dyDescent="0.25">
      <c r="A592" s="4"/>
      <c r="B592" s="21">
        <v>44215</v>
      </c>
      <c r="C592" s="5">
        <f t="shared" si="18"/>
        <v>4</v>
      </c>
      <c r="D592" s="5">
        <f t="shared" si="19"/>
        <v>3</v>
      </c>
      <c r="E592" s="1" t="s">
        <v>7</v>
      </c>
      <c r="F592" s="1" t="s">
        <v>16</v>
      </c>
      <c r="G592">
        <v>47690</v>
      </c>
      <c r="H592">
        <v>100617</v>
      </c>
      <c r="I592" s="4"/>
      <c r="J592" s="22">
        <v>0.47916666666666669</v>
      </c>
      <c r="K592" s="22">
        <v>9.7916666666666666E-2</v>
      </c>
      <c r="L592" s="4"/>
      <c r="M592" s="4"/>
      <c r="N592" t="s">
        <v>1466</v>
      </c>
      <c r="O592" s="4"/>
      <c r="P592" t="s">
        <v>558</v>
      </c>
      <c r="Q592">
        <v>10</v>
      </c>
    </row>
    <row r="593" spans="1:17" ht="14.25" customHeight="1" x14ac:dyDescent="0.25">
      <c r="A593" s="4"/>
      <c r="B593" s="21">
        <v>44215</v>
      </c>
      <c r="C593" s="5">
        <f t="shared" si="18"/>
        <v>4</v>
      </c>
      <c r="D593" s="5">
        <f t="shared" si="19"/>
        <v>3</v>
      </c>
      <c r="E593" s="1" t="s">
        <v>6</v>
      </c>
      <c r="F593" s="1" t="s">
        <v>13</v>
      </c>
      <c r="G593">
        <v>47692</v>
      </c>
      <c r="H593">
        <v>100617</v>
      </c>
      <c r="I593" s="4"/>
      <c r="J593" s="22">
        <v>0.34513888888888888</v>
      </c>
      <c r="K593" s="22">
        <v>0.50416666666666665</v>
      </c>
      <c r="L593" s="4"/>
      <c r="M593" s="4"/>
      <c r="N593" t="s">
        <v>1467</v>
      </c>
      <c r="O593" s="4"/>
      <c r="P593" t="s">
        <v>582</v>
      </c>
      <c r="Q593">
        <v>19</v>
      </c>
    </row>
    <row r="594" spans="1:17" ht="14.25" customHeight="1" x14ac:dyDescent="0.25">
      <c r="A594" s="4"/>
      <c r="B594" s="21">
        <v>44215</v>
      </c>
      <c r="C594" s="5">
        <f t="shared" si="18"/>
        <v>4</v>
      </c>
      <c r="D594" s="5">
        <f t="shared" si="19"/>
        <v>3</v>
      </c>
      <c r="E594" s="1" t="s">
        <v>6</v>
      </c>
      <c r="F594" s="1" t="s">
        <v>11</v>
      </c>
      <c r="G594">
        <v>47693</v>
      </c>
      <c r="H594">
        <v>100618</v>
      </c>
      <c r="I594" s="4"/>
      <c r="J594" s="22">
        <v>0.35069444444444442</v>
      </c>
      <c r="K594" s="22">
        <v>6.3194444444444442E-2</v>
      </c>
      <c r="L594" s="4"/>
      <c r="M594" s="4"/>
      <c r="N594" t="s">
        <v>1468</v>
      </c>
      <c r="O594" s="4"/>
      <c r="P594" t="s">
        <v>583</v>
      </c>
      <c r="Q594">
        <v>8</v>
      </c>
    </row>
    <row r="595" spans="1:17" ht="14.25" customHeight="1" x14ac:dyDescent="0.25">
      <c r="A595" s="4"/>
      <c r="B595" s="21">
        <v>44215</v>
      </c>
      <c r="C595" s="5">
        <f t="shared" si="18"/>
        <v>4</v>
      </c>
      <c r="D595" s="5">
        <f t="shared" si="19"/>
        <v>3</v>
      </c>
      <c r="E595" s="1" t="s">
        <v>5</v>
      </c>
      <c r="F595" s="1" t="s">
        <v>17</v>
      </c>
      <c r="G595">
        <v>47694</v>
      </c>
      <c r="H595">
        <v>100619</v>
      </c>
      <c r="I595" s="4"/>
      <c r="J595" s="22">
        <v>0.37638888888888888</v>
      </c>
      <c r="K595" s="22">
        <v>0.62152777777777779</v>
      </c>
      <c r="L595" s="4"/>
      <c r="M595" s="4"/>
      <c r="N595" t="s">
        <v>1469</v>
      </c>
      <c r="O595" s="4"/>
      <c r="P595" t="s">
        <v>584</v>
      </c>
      <c r="Q595">
        <v>24</v>
      </c>
    </row>
    <row r="596" spans="1:17" ht="14.25" customHeight="1" x14ac:dyDescent="0.25">
      <c r="A596" s="4"/>
      <c r="B596" s="21">
        <v>44215</v>
      </c>
      <c r="C596" s="5">
        <f t="shared" si="18"/>
        <v>4</v>
      </c>
      <c r="D596" s="5">
        <f t="shared" si="19"/>
        <v>3</v>
      </c>
      <c r="E596" s="1" t="s">
        <v>7</v>
      </c>
      <c r="F596" s="1" t="s">
        <v>15</v>
      </c>
      <c r="G596">
        <v>47695</v>
      </c>
      <c r="H596">
        <v>100622</v>
      </c>
      <c r="I596" s="4"/>
      <c r="J596" s="22">
        <v>0.46527777777777773</v>
      </c>
      <c r="K596" s="22">
        <v>0.97430555555555554</v>
      </c>
      <c r="L596" s="4"/>
      <c r="M596" s="4"/>
      <c r="N596" t="s">
        <v>1470</v>
      </c>
      <c r="O596" s="4"/>
      <c r="P596" t="s">
        <v>330</v>
      </c>
      <c r="Q596">
        <v>1</v>
      </c>
    </row>
    <row r="597" spans="1:17" ht="14.25" customHeight="1" x14ac:dyDescent="0.25">
      <c r="A597" s="4"/>
      <c r="B597" s="21">
        <v>44215</v>
      </c>
      <c r="C597" s="5">
        <f t="shared" si="18"/>
        <v>4</v>
      </c>
      <c r="D597" s="5">
        <f t="shared" si="19"/>
        <v>3</v>
      </c>
      <c r="E597" s="1" t="s">
        <v>5</v>
      </c>
      <c r="F597" s="1" t="s">
        <v>19</v>
      </c>
      <c r="G597">
        <v>47697</v>
      </c>
      <c r="H597">
        <v>100622</v>
      </c>
      <c r="I597" s="4"/>
      <c r="J597" s="22">
        <v>0.33402777777777781</v>
      </c>
      <c r="K597" s="22">
        <v>0.23958333333333334</v>
      </c>
      <c r="L597" s="4"/>
      <c r="M597" s="4"/>
      <c r="N597" t="s">
        <v>1471</v>
      </c>
      <c r="O597" s="4"/>
      <c r="P597" t="s">
        <v>381</v>
      </c>
      <c r="Q597">
        <v>12</v>
      </c>
    </row>
    <row r="598" spans="1:17" ht="14.25" customHeight="1" x14ac:dyDescent="0.25">
      <c r="A598" s="4"/>
      <c r="B598" s="21">
        <v>44215</v>
      </c>
      <c r="C598" s="5">
        <f t="shared" si="18"/>
        <v>4</v>
      </c>
      <c r="D598" s="5">
        <f t="shared" si="19"/>
        <v>3</v>
      </c>
      <c r="E598" s="1" t="s">
        <v>5</v>
      </c>
      <c r="F598" s="1" t="s">
        <v>17</v>
      </c>
      <c r="G598">
        <v>47698</v>
      </c>
      <c r="H598">
        <v>100623</v>
      </c>
      <c r="I598" s="4"/>
      <c r="J598" s="22">
        <v>0.45</v>
      </c>
      <c r="K598" s="22">
        <v>0.38958333333333334</v>
      </c>
      <c r="L598" s="4"/>
      <c r="M598" s="4"/>
      <c r="N598" t="s">
        <v>1472</v>
      </c>
      <c r="O598" s="4"/>
      <c r="P598" t="s">
        <v>157</v>
      </c>
      <c r="Q598">
        <v>14</v>
      </c>
    </row>
    <row r="599" spans="1:17" ht="14.25" customHeight="1" x14ac:dyDescent="0.25">
      <c r="A599" s="4"/>
      <c r="B599" s="21">
        <v>44215</v>
      </c>
      <c r="C599" s="5">
        <f t="shared" si="18"/>
        <v>4</v>
      </c>
      <c r="D599" s="5">
        <f t="shared" si="19"/>
        <v>3</v>
      </c>
      <c r="E599" s="1" t="s">
        <v>7</v>
      </c>
      <c r="F599" s="1" t="s">
        <v>16</v>
      </c>
      <c r="G599">
        <v>47698</v>
      </c>
      <c r="H599">
        <v>100623</v>
      </c>
      <c r="I599" s="4"/>
      <c r="J599" s="22">
        <v>0.38055555555555554</v>
      </c>
      <c r="K599" s="22">
        <v>0.94791666666666663</v>
      </c>
      <c r="L599" s="4"/>
      <c r="M599" s="4"/>
      <c r="N599" t="s">
        <v>1473</v>
      </c>
      <c r="O599" s="4"/>
      <c r="P599" t="s">
        <v>585</v>
      </c>
      <c r="Q599">
        <v>3</v>
      </c>
    </row>
    <row r="600" spans="1:17" ht="14.25" customHeight="1" x14ac:dyDescent="0.25">
      <c r="A600" s="4"/>
      <c r="B600" s="21">
        <v>44215</v>
      </c>
      <c r="C600" s="5">
        <f t="shared" si="18"/>
        <v>4</v>
      </c>
      <c r="D600" s="5">
        <f t="shared" si="19"/>
        <v>3</v>
      </c>
      <c r="E600" s="1" t="s">
        <v>7</v>
      </c>
      <c r="F600" s="1" t="s">
        <v>14</v>
      </c>
      <c r="G600">
        <v>47699</v>
      </c>
      <c r="H600">
        <v>100624</v>
      </c>
      <c r="I600" s="4"/>
      <c r="J600" s="22">
        <v>0.41944444444444445</v>
      </c>
      <c r="K600" s="22">
        <v>0.76458333333333339</v>
      </c>
      <c r="L600" s="4"/>
      <c r="M600" s="4"/>
      <c r="N600" t="s">
        <v>1474</v>
      </c>
      <c r="O600" s="4"/>
      <c r="P600" t="s">
        <v>586</v>
      </c>
      <c r="Q600">
        <v>12</v>
      </c>
    </row>
    <row r="601" spans="1:17" ht="14.25" customHeight="1" x14ac:dyDescent="0.25">
      <c r="A601" s="4"/>
      <c r="B601" s="21">
        <v>44215</v>
      </c>
      <c r="C601" s="5">
        <f t="shared" si="18"/>
        <v>4</v>
      </c>
      <c r="D601" s="5">
        <f t="shared" si="19"/>
        <v>3</v>
      </c>
      <c r="E601" s="1" t="s">
        <v>7</v>
      </c>
      <c r="F601" s="1" t="s">
        <v>14</v>
      </c>
      <c r="G601">
        <v>47700</v>
      </c>
      <c r="H601">
        <v>100625</v>
      </c>
      <c r="I601" s="4"/>
      <c r="J601" s="22">
        <v>0.48541666666666666</v>
      </c>
      <c r="K601" s="22">
        <v>0.5708333333333333</v>
      </c>
      <c r="L601" s="4"/>
      <c r="M601" s="4"/>
      <c r="N601" t="s">
        <v>1475</v>
      </c>
      <c r="O601" s="4"/>
      <c r="P601" t="s">
        <v>587</v>
      </c>
      <c r="Q601">
        <v>27</v>
      </c>
    </row>
    <row r="602" spans="1:17" ht="14.25" customHeight="1" x14ac:dyDescent="0.25">
      <c r="A602" s="4"/>
      <c r="B602" s="21">
        <v>44215</v>
      </c>
      <c r="C602" s="5">
        <f t="shared" si="18"/>
        <v>4</v>
      </c>
      <c r="D602" s="5">
        <f t="shared" si="19"/>
        <v>3</v>
      </c>
      <c r="E602" s="1" t="s">
        <v>5</v>
      </c>
      <c r="F602" s="1" t="s">
        <v>18</v>
      </c>
      <c r="G602">
        <v>47700</v>
      </c>
      <c r="H602">
        <v>100626</v>
      </c>
      <c r="I602" s="4"/>
      <c r="J602" s="22">
        <v>0.35347222222222219</v>
      </c>
      <c r="K602" s="22">
        <v>0.63541666666666663</v>
      </c>
      <c r="L602" s="4"/>
      <c r="M602" s="4"/>
      <c r="N602" t="s">
        <v>1476</v>
      </c>
      <c r="O602" s="4"/>
      <c r="P602" t="s">
        <v>588</v>
      </c>
      <c r="Q602">
        <v>12</v>
      </c>
    </row>
    <row r="603" spans="1:17" ht="14.25" customHeight="1" x14ac:dyDescent="0.25">
      <c r="A603" s="4"/>
      <c r="B603" s="21">
        <v>44215</v>
      </c>
      <c r="C603" s="5">
        <f t="shared" si="18"/>
        <v>4</v>
      </c>
      <c r="D603" s="5">
        <f t="shared" si="19"/>
        <v>3</v>
      </c>
      <c r="E603" s="1" t="s">
        <v>6</v>
      </c>
      <c r="F603" s="1" t="s">
        <v>12</v>
      </c>
      <c r="G603">
        <v>47702</v>
      </c>
      <c r="H603">
        <v>100627</v>
      </c>
      <c r="I603" s="4"/>
      <c r="J603" s="22">
        <v>0.32013888888888892</v>
      </c>
      <c r="K603" s="22">
        <v>0.70347222222222217</v>
      </c>
      <c r="L603" s="4"/>
      <c r="M603" s="4"/>
      <c r="N603" t="s">
        <v>1477</v>
      </c>
      <c r="O603" s="4"/>
      <c r="P603" t="s">
        <v>589</v>
      </c>
      <c r="Q603">
        <v>8</v>
      </c>
    </row>
    <row r="604" spans="1:17" ht="14.25" customHeight="1" x14ac:dyDescent="0.25">
      <c r="A604" s="4"/>
      <c r="B604" s="21">
        <v>44215</v>
      </c>
      <c r="C604" s="5">
        <f t="shared" si="18"/>
        <v>4</v>
      </c>
      <c r="D604" s="5">
        <f t="shared" si="19"/>
        <v>3</v>
      </c>
      <c r="E604" s="1" t="s">
        <v>6</v>
      </c>
      <c r="F604" s="1" t="s">
        <v>12</v>
      </c>
      <c r="G604">
        <v>47703</v>
      </c>
      <c r="H604">
        <v>100627</v>
      </c>
      <c r="I604" s="4"/>
      <c r="J604" s="22">
        <v>0.36180555555555555</v>
      </c>
      <c r="K604" s="22">
        <v>0.18541666666666667</v>
      </c>
      <c r="L604" s="4"/>
      <c r="M604" s="4"/>
      <c r="N604" t="s">
        <v>1478</v>
      </c>
      <c r="O604" s="4"/>
      <c r="P604" t="s">
        <v>590</v>
      </c>
      <c r="Q604">
        <v>30</v>
      </c>
    </row>
    <row r="605" spans="1:17" ht="14.25" customHeight="1" x14ac:dyDescent="0.25">
      <c r="A605" s="4"/>
      <c r="B605" s="21">
        <v>44215</v>
      </c>
      <c r="C605" s="5">
        <f t="shared" si="18"/>
        <v>4</v>
      </c>
      <c r="D605" s="5">
        <f t="shared" si="19"/>
        <v>3</v>
      </c>
      <c r="E605" s="1" t="s">
        <v>5</v>
      </c>
      <c r="F605" s="1" t="s">
        <v>18</v>
      </c>
      <c r="G605">
        <v>47705</v>
      </c>
      <c r="H605">
        <v>100628</v>
      </c>
      <c r="I605" s="4"/>
      <c r="J605" s="22">
        <v>0.3666666666666667</v>
      </c>
      <c r="K605" s="22">
        <v>0.94166666666666676</v>
      </c>
      <c r="L605" s="4"/>
      <c r="M605" s="4"/>
      <c r="N605" t="s">
        <v>1479</v>
      </c>
      <c r="O605" s="4"/>
      <c r="P605" t="s">
        <v>591</v>
      </c>
      <c r="Q605">
        <v>11</v>
      </c>
    </row>
    <row r="606" spans="1:17" ht="14.25" customHeight="1" x14ac:dyDescent="0.25">
      <c r="A606" s="4"/>
      <c r="B606" s="21">
        <v>44215</v>
      </c>
      <c r="C606" s="5">
        <f t="shared" si="18"/>
        <v>4</v>
      </c>
      <c r="D606" s="5">
        <f t="shared" si="19"/>
        <v>3</v>
      </c>
      <c r="E606" s="1" t="s">
        <v>6</v>
      </c>
      <c r="F606" s="1" t="s">
        <v>12</v>
      </c>
      <c r="G606">
        <v>47708</v>
      </c>
      <c r="H606">
        <v>100628</v>
      </c>
      <c r="I606" s="4"/>
      <c r="J606" s="22">
        <v>0.43472222222222223</v>
      </c>
      <c r="K606" s="22">
        <v>0.54305555555555551</v>
      </c>
      <c r="L606" s="4"/>
      <c r="M606" s="4"/>
      <c r="N606" t="s">
        <v>1480</v>
      </c>
      <c r="O606" s="4"/>
      <c r="P606" t="s">
        <v>270</v>
      </c>
      <c r="Q606">
        <v>31</v>
      </c>
    </row>
    <row r="607" spans="1:17" ht="14.25" customHeight="1" x14ac:dyDescent="0.25">
      <c r="A607" s="4"/>
      <c r="B607" s="21">
        <v>44215</v>
      </c>
      <c r="C607" s="5">
        <f t="shared" si="18"/>
        <v>4</v>
      </c>
      <c r="D607" s="5">
        <f t="shared" si="19"/>
        <v>3</v>
      </c>
      <c r="E607" s="1" t="s">
        <v>7</v>
      </c>
      <c r="F607" s="1" t="s">
        <v>14</v>
      </c>
      <c r="G607">
        <v>47709</v>
      </c>
      <c r="H607">
        <v>100629</v>
      </c>
      <c r="I607" s="4"/>
      <c r="J607" s="22">
        <v>0.38125000000000003</v>
      </c>
      <c r="K607" s="22">
        <v>0.65</v>
      </c>
      <c r="L607" s="4"/>
      <c r="M607" s="4"/>
      <c r="N607" t="s">
        <v>1481</v>
      </c>
      <c r="O607" s="4"/>
      <c r="P607" t="s">
        <v>592</v>
      </c>
      <c r="Q607">
        <v>26</v>
      </c>
    </row>
    <row r="608" spans="1:17" ht="14.25" customHeight="1" x14ac:dyDescent="0.25">
      <c r="A608" s="4"/>
      <c r="B608" s="21">
        <v>44215</v>
      </c>
      <c r="C608" s="5">
        <f t="shared" si="18"/>
        <v>4</v>
      </c>
      <c r="D608" s="5">
        <f t="shared" si="19"/>
        <v>3</v>
      </c>
      <c r="E608" s="1" t="s">
        <v>5</v>
      </c>
      <c r="F608" s="1" t="s">
        <v>20</v>
      </c>
      <c r="G608">
        <v>47709</v>
      </c>
      <c r="H608">
        <v>100629</v>
      </c>
      <c r="I608" s="4"/>
      <c r="J608" s="22">
        <v>0.39166666666666666</v>
      </c>
      <c r="K608" s="22">
        <v>0.26874999999999999</v>
      </c>
      <c r="L608" s="4"/>
      <c r="M608" s="4"/>
      <c r="N608" t="s">
        <v>1482</v>
      </c>
      <c r="O608" s="4"/>
      <c r="P608" t="s">
        <v>593</v>
      </c>
      <c r="Q608">
        <v>14</v>
      </c>
    </row>
    <row r="609" spans="1:17" ht="14.25" customHeight="1" x14ac:dyDescent="0.25">
      <c r="A609" s="4"/>
      <c r="B609" s="21">
        <v>44216</v>
      </c>
      <c r="C609" s="5">
        <f t="shared" si="18"/>
        <v>4</v>
      </c>
      <c r="D609" s="5">
        <f t="shared" si="19"/>
        <v>4</v>
      </c>
      <c r="E609" s="1" t="s">
        <v>7</v>
      </c>
      <c r="F609" s="1" t="s">
        <v>15</v>
      </c>
      <c r="G609">
        <v>47709</v>
      </c>
      <c r="H609">
        <v>100631</v>
      </c>
      <c r="I609" s="4"/>
      <c r="J609" s="22">
        <v>0.36874999999999997</v>
      </c>
      <c r="K609" s="22">
        <v>0.46597222222222223</v>
      </c>
      <c r="L609" s="4"/>
      <c r="M609" s="4"/>
      <c r="N609" t="s">
        <v>1483</v>
      </c>
      <c r="O609" s="4"/>
      <c r="P609" t="s">
        <v>594</v>
      </c>
      <c r="Q609">
        <v>31</v>
      </c>
    </row>
    <row r="610" spans="1:17" ht="14.25" customHeight="1" x14ac:dyDescent="0.25">
      <c r="A610" s="4"/>
      <c r="B610" s="21">
        <v>44216</v>
      </c>
      <c r="C610" s="5">
        <f t="shared" si="18"/>
        <v>4</v>
      </c>
      <c r="D610" s="5">
        <f t="shared" si="19"/>
        <v>4</v>
      </c>
      <c r="E610" s="1" t="s">
        <v>5</v>
      </c>
      <c r="F610" s="1" t="s">
        <v>20</v>
      </c>
      <c r="G610">
        <v>47709</v>
      </c>
      <c r="H610">
        <v>100632</v>
      </c>
      <c r="I610" s="4"/>
      <c r="J610" s="22">
        <v>0.3520833333333333</v>
      </c>
      <c r="K610" s="22">
        <v>0.53055555555555556</v>
      </c>
      <c r="L610" s="4"/>
      <c r="M610" s="4"/>
      <c r="N610" t="s">
        <v>1484</v>
      </c>
      <c r="O610" s="4"/>
      <c r="P610" t="s">
        <v>595</v>
      </c>
      <c r="Q610">
        <v>24</v>
      </c>
    </row>
    <row r="611" spans="1:17" ht="14.25" customHeight="1" x14ac:dyDescent="0.25">
      <c r="A611" s="4"/>
      <c r="B611" s="21">
        <v>44216</v>
      </c>
      <c r="C611" s="5">
        <f t="shared" si="18"/>
        <v>4</v>
      </c>
      <c r="D611" s="5">
        <f t="shared" si="19"/>
        <v>4</v>
      </c>
      <c r="E611" s="1" t="s">
        <v>6</v>
      </c>
      <c r="F611" s="1" t="s">
        <v>12</v>
      </c>
      <c r="G611">
        <v>47713</v>
      </c>
      <c r="H611">
        <v>100632</v>
      </c>
      <c r="I611" s="4"/>
      <c r="J611" s="22">
        <v>0.49374999999999997</v>
      </c>
      <c r="K611" s="22">
        <v>0.82430555555555562</v>
      </c>
      <c r="L611" s="4"/>
      <c r="M611" s="4"/>
      <c r="N611" t="s">
        <v>1485</v>
      </c>
      <c r="O611" s="4"/>
      <c r="P611" t="s">
        <v>596</v>
      </c>
      <c r="Q611">
        <v>12</v>
      </c>
    </row>
    <row r="612" spans="1:17" ht="14.25" customHeight="1" x14ac:dyDescent="0.25">
      <c r="A612" s="4"/>
      <c r="B612" s="21">
        <v>44216</v>
      </c>
      <c r="C612" s="5">
        <f t="shared" si="18"/>
        <v>4</v>
      </c>
      <c r="D612" s="5">
        <f t="shared" si="19"/>
        <v>4</v>
      </c>
      <c r="E612" s="1" t="s">
        <v>6</v>
      </c>
      <c r="F612" s="1" t="s">
        <v>11</v>
      </c>
      <c r="G612">
        <v>47713</v>
      </c>
      <c r="H612">
        <v>100633</v>
      </c>
      <c r="I612" s="4"/>
      <c r="J612" s="22">
        <v>0.45069444444444445</v>
      </c>
      <c r="K612" s="22">
        <v>0.11666666666666665</v>
      </c>
      <c r="L612" s="4"/>
      <c r="M612" s="4"/>
      <c r="N612" t="s">
        <v>1486</v>
      </c>
      <c r="O612" s="4"/>
      <c r="P612" t="s">
        <v>597</v>
      </c>
      <c r="Q612">
        <v>24</v>
      </c>
    </row>
    <row r="613" spans="1:17" ht="14.25" customHeight="1" x14ac:dyDescent="0.25">
      <c r="A613" s="4"/>
      <c r="B613" s="21">
        <v>44216</v>
      </c>
      <c r="C613" s="5">
        <f t="shared" si="18"/>
        <v>4</v>
      </c>
      <c r="D613" s="5">
        <f t="shared" si="19"/>
        <v>4</v>
      </c>
      <c r="E613" s="1" t="s">
        <v>5</v>
      </c>
      <c r="F613" s="1" t="s">
        <v>20</v>
      </c>
      <c r="G613">
        <v>47713</v>
      </c>
      <c r="H613">
        <v>100634</v>
      </c>
      <c r="I613" s="4"/>
      <c r="J613" s="22">
        <v>0.40347222222222223</v>
      </c>
      <c r="K613" s="22">
        <v>0.78194444444444444</v>
      </c>
      <c r="L613" s="4"/>
      <c r="M613" s="4"/>
      <c r="N613" t="s">
        <v>1487</v>
      </c>
      <c r="O613" s="4"/>
      <c r="P613" t="s">
        <v>511</v>
      </c>
      <c r="Q613">
        <v>6</v>
      </c>
    </row>
    <row r="614" spans="1:17" ht="14.25" customHeight="1" x14ac:dyDescent="0.25">
      <c r="A614" s="4"/>
      <c r="B614" s="21">
        <v>44216</v>
      </c>
      <c r="C614" s="5">
        <f t="shared" si="18"/>
        <v>4</v>
      </c>
      <c r="D614" s="5">
        <f t="shared" si="19"/>
        <v>4</v>
      </c>
      <c r="E614" s="1" t="s">
        <v>7</v>
      </c>
      <c r="F614" s="1" t="s">
        <v>15</v>
      </c>
      <c r="G614">
        <v>47714</v>
      </c>
      <c r="H614">
        <v>100635</v>
      </c>
      <c r="I614" s="4"/>
      <c r="J614" s="22">
        <v>0.48680555555555555</v>
      </c>
      <c r="K614" s="22">
        <v>0.77569444444444446</v>
      </c>
      <c r="L614" s="4"/>
      <c r="M614" s="4"/>
      <c r="N614" t="s">
        <v>1488</v>
      </c>
      <c r="O614" s="4"/>
      <c r="P614" t="s">
        <v>550</v>
      </c>
      <c r="Q614">
        <v>13</v>
      </c>
    </row>
    <row r="615" spans="1:17" ht="14.25" customHeight="1" x14ac:dyDescent="0.25">
      <c r="A615" s="4"/>
      <c r="B615" s="21">
        <v>44216</v>
      </c>
      <c r="C615" s="5">
        <f t="shared" si="18"/>
        <v>4</v>
      </c>
      <c r="D615" s="5">
        <f t="shared" si="19"/>
        <v>4</v>
      </c>
      <c r="E615" s="1" t="s">
        <v>5</v>
      </c>
      <c r="F615" s="1" t="s">
        <v>19</v>
      </c>
      <c r="G615">
        <v>47715</v>
      </c>
      <c r="H615">
        <v>100636</v>
      </c>
      <c r="I615" s="4"/>
      <c r="J615" s="22">
        <v>0.44027777777777777</v>
      </c>
      <c r="K615" s="22">
        <v>0.59652777777777777</v>
      </c>
      <c r="L615" s="4"/>
      <c r="M615" s="4"/>
      <c r="N615" t="s">
        <v>1489</v>
      </c>
      <c r="O615" s="4"/>
      <c r="P615" t="s">
        <v>598</v>
      </c>
      <c r="Q615">
        <v>31</v>
      </c>
    </row>
    <row r="616" spans="1:17" ht="14.25" customHeight="1" x14ac:dyDescent="0.25">
      <c r="A616" s="4"/>
      <c r="B616" s="21">
        <v>44216</v>
      </c>
      <c r="C616" s="5">
        <f t="shared" si="18"/>
        <v>4</v>
      </c>
      <c r="D616" s="5">
        <f t="shared" si="19"/>
        <v>4</v>
      </c>
      <c r="E616" s="1" t="s">
        <v>5</v>
      </c>
      <c r="F616" s="1" t="s">
        <v>19</v>
      </c>
      <c r="G616">
        <v>47715</v>
      </c>
      <c r="H616">
        <v>100638</v>
      </c>
      <c r="I616" s="4"/>
      <c r="J616" s="22">
        <v>0.34791666666666665</v>
      </c>
      <c r="K616" s="22">
        <v>0.53194444444444444</v>
      </c>
      <c r="L616" s="4"/>
      <c r="M616" s="4"/>
      <c r="N616" t="s">
        <v>1490</v>
      </c>
      <c r="O616" s="4"/>
      <c r="P616" t="s">
        <v>599</v>
      </c>
      <c r="Q616">
        <v>18</v>
      </c>
    </row>
    <row r="617" spans="1:17" ht="14.25" customHeight="1" x14ac:dyDescent="0.25">
      <c r="A617" s="4"/>
      <c r="B617" s="21">
        <v>44216</v>
      </c>
      <c r="C617" s="5">
        <f t="shared" si="18"/>
        <v>4</v>
      </c>
      <c r="D617" s="5">
        <f t="shared" si="19"/>
        <v>4</v>
      </c>
      <c r="E617" s="1" t="s">
        <v>6</v>
      </c>
      <c r="F617" s="1" t="s">
        <v>11</v>
      </c>
      <c r="G617">
        <v>47715</v>
      </c>
      <c r="H617">
        <v>100639</v>
      </c>
      <c r="I617" s="4"/>
      <c r="J617" s="22">
        <v>0.29791666666666666</v>
      </c>
      <c r="K617" s="22">
        <v>0.73333333333333339</v>
      </c>
      <c r="L617" s="4"/>
      <c r="M617" s="4"/>
      <c r="N617" t="s">
        <v>1491</v>
      </c>
      <c r="O617" s="4"/>
      <c r="P617" t="s">
        <v>600</v>
      </c>
      <c r="Q617">
        <v>3</v>
      </c>
    </row>
    <row r="618" spans="1:17" ht="14.25" customHeight="1" x14ac:dyDescent="0.25">
      <c r="A618" s="4"/>
      <c r="B618" s="21">
        <v>44216</v>
      </c>
      <c r="C618" s="5">
        <f t="shared" si="18"/>
        <v>4</v>
      </c>
      <c r="D618" s="5">
        <f t="shared" si="19"/>
        <v>4</v>
      </c>
      <c r="E618" s="1" t="s">
        <v>7</v>
      </c>
      <c r="F618" s="1" t="s">
        <v>14</v>
      </c>
      <c r="G618">
        <v>47716</v>
      </c>
      <c r="H618">
        <v>100639</v>
      </c>
      <c r="I618" s="4"/>
      <c r="J618" s="22">
        <v>0.30277777777777776</v>
      </c>
      <c r="K618" s="22">
        <v>0.22361111111111109</v>
      </c>
      <c r="L618" s="4"/>
      <c r="M618" s="4"/>
      <c r="N618" t="s">
        <v>1492</v>
      </c>
      <c r="O618" s="4"/>
      <c r="P618" t="s">
        <v>601</v>
      </c>
      <c r="Q618">
        <v>28</v>
      </c>
    </row>
    <row r="619" spans="1:17" ht="14.25" customHeight="1" x14ac:dyDescent="0.25">
      <c r="A619" s="4"/>
      <c r="B619" s="21">
        <v>44216</v>
      </c>
      <c r="C619" s="5">
        <f t="shared" si="18"/>
        <v>4</v>
      </c>
      <c r="D619" s="5">
        <f t="shared" si="19"/>
        <v>4</v>
      </c>
      <c r="E619" s="1" t="s">
        <v>7</v>
      </c>
      <c r="F619" s="1" t="s">
        <v>14</v>
      </c>
      <c r="G619">
        <v>47718</v>
      </c>
      <c r="H619">
        <v>100640</v>
      </c>
      <c r="I619" s="4"/>
      <c r="J619" s="22">
        <v>0.26805555555555555</v>
      </c>
      <c r="K619" s="22">
        <v>0.65208333333333335</v>
      </c>
      <c r="L619" s="4"/>
      <c r="M619" s="4"/>
      <c r="N619" t="s">
        <v>1493</v>
      </c>
      <c r="O619" s="4"/>
      <c r="P619" t="s">
        <v>602</v>
      </c>
      <c r="Q619">
        <v>32</v>
      </c>
    </row>
    <row r="620" spans="1:17" ht="14.25" customHeight="1" x14ac:dyDescent="0.25">
      <c r="A620" s="4"/>
      <c r="B620" s="21">
        <v>44216</v>
      </c>
      <c r="C620" s="5">
        <f t="shared" si="18"/>
        <v>4</v>
      </c>
      <c r="D620" s="5">
        <f t="shared" si="19"/>
        <v>4</v>
      </c>
      <c r="E620" s="1" t="s">
        <v>6</v>
      </c>
      <c r="F620" s="1" t="s">
        <v>11</v>
      </c>
      <c r="G620">
        <v>47719</v>
      </c>
      <c r="H620">
        <v>100641</v>
      </c>
      <c r="I620" s="4"/>
      <c r="J620" s="22">
        <v>0.35833333333333334</v>
      </c>
      <c r="K620" s="22">
        <v>0.3527777777777778</v>
      </c>
      <c r="L620" s="4"/>
      <c r="M620" s="4"/>
      <c r="N620" t="s">
        <v>1494</v>
      </c>
      <c r="O620" s="4"/>
      <c r="P620" t="s">
        <v>603</v>
      </c>
      <c r="Q620">
        <v>9</v>
      </c>
    </row>
    <row r="621" spans="1:17" ht="14.25" customHeight="1" x14ac:dyDescent="0.25">
      <c r="A621" s="4"/>
      <c r="B621" s="21">
        <v>44216</v>
      </c>
      <c r="C621" s="5">
        <f t="shared" si="18"/>
        <v>4</v>
      </c>
      <c r="D621" s="5">
        <f t="shared" si="19"/>
        <v>4</v>
      </c>
      <c r="E621" s="1" t="s">
        <v>7</v>
      </c>
      <c r="F621" s="1" t="s">
        <v>16</v>
      </c>
      <c r="G621">
        <v>47719</v>
      </c>
      <c r="H621">
        <v>100641</v>
      </c>
      <c r="I621" s="4"/>
      <c r="J621" s="22">
        <v>0.42638888888888887</v>
      </c>
      <c r="K621" s="22">
        <v>0.70624999999999993</v>
      </c>
      <c r="L621" s="4"/>
      <c r="M621" s="4"/>
      <c r="N621" t="s">
        <v>1495</v>
      </c>
      <c r="O621" s="4"/>
      <c r="P621" t="s">
        <v>604</v>
      </c>
      <c r="Q621">
        <v>9</v>
      </c>
    </row>
    <row r="622" spans="1:17" ht="14.25" customHeight="1" x14ac:dyDescent="0.25">
      <c r="A622" s="4"/>
      <c r="B622" s="21">
        <v>44216</v>
      </c>
      <c r="C622" s="5">
        <f t="shared" si="18"/>
        <v>4</v>
      </c>
      <c r="D622" s="5">
        <f t="shared" si="19"/>
        <v>4</v>
      </c>
      <c r="E622" s="1" t="s">
        <v>6</v>
      </c>
      <c r="F622" s="1" t="s">
        <v>12</v>
      </c>
      <c r="G622">
        <v>47721</v>
      </c>
      <c r="H622">
        <v>100643</v>
      </c>
      <c r="I622" s="4"/>
      <c r="J622" s="22">
        <v>0.3527777777777778</v>
      </c>
      <c r="K622" s="22">
        <v>0.14027777777777778</v>
      </c>
      <c r="L622" s="4"/>
      <c r="M622" s="4"/>
      <c r="N622" t="s">
        <v>1496</v>
      </c>
      <c r="O622" s="4"/>
      <c r="P622" t="s">
        <v>605</v>
      </c>
      <c r="Q622">
        <v>10</v>
      </c>
    </row>
    <row r="623" spans="1:17" ht="14.25" customHeight="1" x14ac:dyDescent="0.25">
      <c r="A623" s="4"/>
      <c r="B623" s="21">
        <v>44216</v>
      </c>
      <c r="C623" s="5">
        <f t="shared" si="18"/>
        <v>4</v>
      </c>
      <c r="D623" s="5">
        <f t="shared" si="19"/>
        <v>4</v>
      </c>
      <c r="E623" s="1" t="s">
        <v>5</v>
      </c>
      <c r="F623" s="1" t="s">
        <v>19</v>
      </c>
      <c r="G623">
        <v>47724</v>
      </c>
      <c r="H623">
        <v>100646</v>
      </c>
      <c r="I623" s="4"/>
      <c r="J623" s="22">
        <v>0.32013888888888892</v>
      </c>
      <c r="K623" s="22">
        <v>0.52152777777777781</v>
      </c>
      <c r="L623" s="4"/>
      <c r="M623" s="4"/>
      <c r="N623" t="s">
        <v>1497</v>
      </c>
      <c r="O623" s="4"/>
      <c r="P623" t="s">
        <v>442</v>
      </c>
      <c r="Q623">
        <v>3</v>
      </c>
    </row>
    <row r="624" spans="1:17" ht="14.25" customHeight="1" x14ac:dyDescent="0.25">
      <c r="A624" s="4"/>
      <c r="B624" s="21">
        <v>44216</v>
      </c>
      <c r="C624" s="5">
        <f t="shared" si="18"/>
        <v>4</v>
      </c>
      <c r="D624" s="5">
        <f t="shared" si="19"/>
        <v>4</v>
      </c>
      <c r="E624" s="1" t="s">
        <v>7</v>
      </c>
      <c r="F624" s="1" t="s">
        <v>16</v>
      </c>
      <c r="G624">
        <v>47726</v>
      </c>
      <c r="H624">
        <v>100647</v>
      </c>
      <c r="I624" s="4"/>
      <c r="J624" s="22">
        <v>0.27430555555555552</v>
      </c>
      <c r="K624" s="22">
        <v>0.77569444444444446</v>
      </c>
      <c r="L624" s="4"/>
      <c r="M624" s="4"/>
      <c r="N624" t="s">
        <v>1498</v>
      </c>
      <c r="O624" s="4"/>
      <c r="P624" t="s">
        <v>285</v>
      </c>
      <c r="Q624">
        <v>24</v>
      </c>
    </row>
    <row r="625" spans="1:17" ht="14.25" customHeight="1" x14ac:dyDescent="0.25">
      <c r="A625" s="4"/>
      <c r="B625" s="21">
        <v>44216</v>
      </c>
      <c r="C625" s="5">
        <f t="shared" si="18"/>
        <v>4</v>
      </c>
      <c r="D625" s="5">
        <f t="shared" si="19"/>
        <v>4</v>
      </c>
      <c r="E625" s="1" t="s">
        <v>6</v>
      </c>
      <c r="F625" s="1" t="s">
        <v>13</v>
      </c>
      <c r="G625">
        <v>47726</v>
      </c>
      <c r="H625">
        <v>100649</v>
      </c>
      <c r="I625" s="4"/>
      <c r="J625" s="22">
        <v>0.28750000000000003</v>
      </c>
      <c r="K625" s="22">
        <v>0.14097222222222222</v>
      </c>
      <c r="L625" s="4"/>
      <c r="M625" s="4"/>
      <c r="N625" t="s">
        <v>1499</v>
      </c>
      <c r="O625" s="4"/>
      <c r="P625" t="s">
        <v>606</v>
      </c>
      <c r="Q625">
        <v>14</v>
      </c>
    </row>
    <row r="626" spans="1:17" ht="14.25" customHeight="1" x14ac:dyDescent="0.25">
      <c r="A626" s="4"/>
      <c r="B626" s="21">
        <v>44216</v>
      </c>
      <c r="C626" s="5">
        <f t="shared" si="18"/>
        <v>4</v>
      </c>
      <c r="D626" s="5">
        <f t="shared" si="19"/>
        <v>4</v>
      </c>
      <c r="E626" s="1" t="s">
        <v>5</v>
      </c>
      <c r="F626" s="1" t="s">
        <v>19</v>
      </c>
      <c r="G626">
        <v>47727</v>
      </c>
      <c r="H626">
        <v>100650</v>
      </c>
      <c r="I626" s="4"/>
      <c r="J626" s="22">
        <v>0.44930555555555557</v>
      </c>
      <c r="K626" s="22">
        <v>0.97152777777777777</v>
      </c>
      <c r="L626" s="4"/>
      <c r="M626" s="4"/>
      <c r="N626" t="s">
        <v>1500</v>
      </c>
      <c r="O626" s="4"/>
      <c r="P626" t="s">
        <v>607</v>
      </c>
      <c r="Q626">
        <v>32</v>
      </c>
    </row>
    <row r="627" spans="1:17" ht="14.25" customHeight="1" x14ac:dyDescent="0.25">
      <c r="A627" s="4"/>
      <c r="B627" s="21">
        <v>44216</v>
      </c>
      <c r="C627" s="5">
        <f t="shared" si="18"/>
        <v>4</v>
      </c>
      <c r="D627" s="5">
        <f t="shared" si="19"/>
        <v>4</v>
      </c>
      <c r="E627" s="1" t="s">
        <v>7</v>
      </c>
      <c r="F627" s="1" t="s">
        <v>14</v>
      </c>
      <c r="G627">
        <v>47730</v>
      </c>
      <c r="H627">
        <v>100650</v>
      </c>
      <c r="I627" s="4"/>
      <c r="J627" s="22">
        <v>0.4145833333333333</v>
      </c>
      <c r="K627" s="22">
        <v>0.6791666666666667</v>
      </c>
      <c r="L627" s="4"/>
      <c r="M627" s="4"/>
      <c r="N627" t="s">
        <v>1501</v>
      </c>
      <c r="O627" s="4"/>
      <c r="P627" t="s">
        <v>608</v>
      </c>
      <c r="Q627">
        <v>29</v>
      </c>
    </row>
    <row r="628" spans="1:17" ht="14.25" customHeight="1" x14ac:dyDescent="0.25">
      <c r="A628" s="4"/>
      <c r="B628" s="21">
        <v>44216</v>
      </c>
      <c r="C628" s="5">
        <f t="shared" si="18"/>
        <v>4</v>
      </c>
      <c r="D628" s="5">
        <f t="shared" si="19"/>
        <v>4</v>
      </c>
      <c r="E628" s="1" t="s">
        <v>7</v>
      </c>
      <c r="F628" s="1" t="s">
        <v>16</v>
      </c>
      <c r="G628">
        <v>47730</v>
      </c>
      <c r="H628">
        <v>100652</v>
      </c>
      <c r="I628" s="4"/>
      <c r="J628" s="22">
        <v>0.44722222222222219</v>
      </c>
      <c r="K628" s="22">
        <v>6.3194444444444442E-2</v>
      </c>
      <c r="L628" s="4"/>
      <c r="M628" s="4"/>
      <c r="N628" t="s">
        <v>1502</v>
      </c>
      <c r="O628" s="4"/>
      <c r="P628" t="s">
        <v>531</v>
      </c>
      <c r="Q628">
        <v>30</v>
      </c>
    </row>
    <row r="629" spans="1:17" ht="14.25" customHeight="1" x14ac:dyDescent="0.25">
      <c r="A629" s="4"/>
      <c r="B629" s="21">
        <v>44216</v>
      </c>
      <c r="C629" s="5">
        <f t="shared" si="18"/>
        <v>4</v>
      </c>
      <c r="D629" s="5">
        <f t="shared" si="19"/>
        <v>4</v>
      </c>
      <c r="E629" s="1" t="s">
        <v>5</v>
      </c>
      <c r="F629" s="1" t="s">
        <v>18</v>
      </c>
      <c r="G629">
        <v>47730</v>
      </c>
      <c r="H629">
        <v>100652</v>
      </c>
      <c r="I629" s="4"/>
      <c r="J629" s="22">
        <v>0.34861111111111115</v>
      </c>
      <c r="K629" s="22">
        <v>0.99236111111111114</v>
      </c>
      <c r="L629" s="4"/>
      <c r="M629" s="4"/>
      <c r="N629" t="s">
        <v>1503</v>
      </c>
      <c r="O629" s="4"/>
      <c r="P629" t="s">
        <v>609</v>
      </c>
      <c r="Q629">
        <v>24</v>
      </c>
    </row>
    <row r="630" spans="1:17" ht="14.25" customHeight="1" x14ac:dyDescent="0.25">
      <c r="A630" s="4"/>
      <c r="B630" s="21">
        <v>44216</v>
      </c>
      <c r="C630" s="5">
        <f t="shared" si="18"/>
        <v>4</v>
      </c>
      <c r="D630" s="5">
        <f t="shared" si="19"/>
        <v>4</v>
      </c>
      <c r="E630" s="1" t="s">
        <v>6</v>
      </c>
      <c r="F630" s="1" t="s">
        <v>12</v>
      </c>
      <c r="G630">
        <v>47731</v>
      </c>
      <c r="H630">
        <v>100652</v>
      </c>
      <c r="I630" s="4"/>
      <c r="J630" s="22">
        <v>0.29236111111111113</v>
      </c>
      <c r="K630" s="22">
        <v>0.14444444444444446</v>
      </c>
      <c r="L630" s="4"/>
      <c r="M630" s="4"/>
      <c r="N630" t="s">
        <v>1504</v>
      </c>
      <c r="O630" s="4"/>
      <c r="P630" t="s">
        <v>610</v>
      </c>
      <c r="Q630">
        <v>27</v>
      </c>
    </row>
    <row r="631" spans="1:17" ht="14.25" customHeight="1" x14ac:dyDescent="0.25">
      <c r="A631" s="4"/>
      <c r="B631" s="21">
        <v>44216</v>
      </c>
      <c r="C631" s="5">
        <f t="shared" si="18"/>
        <v>4</v>
      </c>
      <c r="D631" s="5">
        <f t="shared" si="19"/>
        <v>4</v>
      </c>
      <c r="E631" s="1" t="s">
        <v>7</v>
      </c>
      <c r="F631" s="1" t="s">
        <v>14</v>
      </c>
      <c r="G631">
        <v>47733</v>
      </c>
      <c r="H631">
        <v>100654</v>
      </c>
      <c r="I631" s="4"/>
      <c r="J631" s="22">
        <v>0.40277777777777773</v>
      </c>
      <c r="K631" s="22">
        <v>0.80208333333333337</v>
      </c>
      <c r="L631" s="4"/>
      <c r="M631" s="4"/>
      <c r="N631" t="s">
        <v>1505</v>
      </c>
      <c r="O631" s="4"/>
      <c r="P631" t="s">
        <v>611</v>
      </c>
      <c r="Q631">
        <v>17</v>
      </c>
    </row>
    <row r="632" spans="1:17" ht="14.25" customHeight="1" x14ac:dyDescent="0.25">
      <c r="A632" s="4"/>
      <c r="B632" s="21">
        <v>44216</v>
      </c>
      <c r="C632" s="5">
        <f t="shared" si="18"/>
        <v>4</v>
      </c>
      <c r="D632" s="5">
        <f t="shared" si="19"/>
        <v>4</v>
      </c>
      <c r="E632" s="1" t="s">
        <v>5</v>
      </c>
      <c r="F632" s="1" t="s">
        <v>18</v>
      </c>
      <c r="G632">
        <v>47734</v>
      </c>
      <c r="H632">
        <v>100654</v>
      </c>
      <c r="I632" s="4"/>
      <c r="J632" s="22">
        <v>0.2902777777777778</v>
      </c>
      <c r="K632" s="22">
        <v>0.26597222222222222</v>
      </c>
      <c r="L632" s="4"/>
      <c r="M632" s="4"/>
      <c r="N632" t="s">
        <v>1506</v>
      </c>
      <c r="O632" s="4"/>
      <c r="P632" t="s">
        <v>612</v>
      </c>
      <c r="Q632">
        <v>29</v>
      </c>
    </row>
    <row r="633" spans="1:17" ht="14.25" customHeight="1" x14ac:dyDescent="0.25">
      <c r="A633" s="4"/>
      <c r="B633" s="21">
        <v>44216</v>
      </c>
      <c r="C633" s="5">
        <f t="shared" si="18"/>
        <v>4</v>
      </c>
      <c r="D633" s="5">
        <f t="shared" si="19"/>
        <v>4</v>
      </c>
      <c r="E633" s="1" t="s">
        <v>6</v>
      </c>
      <c r="F633" s="1" t="s">
        <v>13</v>
      </c>
      <c r="G633">
        <v>47735</v>
      </c>
      <c r="H633">
        <v>100654</v>
      </c>
      <c r="I633" s="4"/>
      <c r="J633" s="22">
        <v>0.25486111111111109</v>
      </c>
      <c r="K633" s="22">
        <v>0.73888888888888893</v>
      </c>
      <c r="L633" s="4"/>
      <c r="M633" s="4"/>
      <c r="N633" t="s">
        <v>1507</v>
      </c>
      <c r="O633" s="4"/>
      <c r="P633" t="s">
        <v>613</v>
      </c>
      <c r="Q633">
        <v>30</v>
      </c>
    </row>
    <row r="634" spans="1:17" ht="14.25" customHeight="1" x14ac:dyDescent="0.25">
      <c r="A634" s="4"/>
      <c r="B634" s="21">
        <v>44216</v>
      </c>
      <c r="C634" s="5">
        <f t="shared" si="18"/>
        <v>4</v>
      </c>
      <c r="D634" s="5">
        <f t="shared" si="19"/>
        <v>4</v>
      </c>
      <c r="E634" s="1" t="s">
        <v>5</v>
      </c>
      <c r="F634" s="1" t="s">
        <v>18</v>
      </c>
      <c r="G634">
        <v>47736</v>
      </c>
      <c r="H634">
        <v>100655</v>
      </c>
      <c r="I634" s="4"/>
      <c r="J634" s="22">
        <v>0.4291666666666667</v>
      </c>
      <c r="K634" s="22">
        <v>0.86736111111111114</v>
      </c>
      <c r="L634" s="4"/>
      <c r="M634" s="4"/>
      <c r="N634" t="s">
        <v>1508</v>
      </c>
      <c r="O634" s="4"/>
      <c r="P634" t="s">
        <v>614</v>
      </c>
      <c r="Q634">
        <v>22</v>
      </c>
    </row>
    <row r="635" spans="1:17" ht="14.25" customHeight="1" x14ac:dyDescent="0.25">
      <c r="A635" s="4"/>
      <c r="B635" s="21">
        <v>44216</v>
      </c>
      <c r="C635" s="5">
        <f t="shared" si="18"/>
        <v>4</v>
      </c>
      <c r="D635" s="5">
        <f t="shared" si="19"/>
        <v>4</v>
      </c>
      <c r="E635" s="1" t="s">
        <v>5</v>
      </c>
      <c r="F635" s="1" t="s">
        <v>18</v>
      </c>
      <c r="G635">
        <v>47736</v>
      </c>
      <c r="H635">
        <v>100655</v>
      </c>
      <c r="I635" s="4"/>
      <c r="J635" s="22">
        <v>0.48194444444444445</v>
      </c>
      <c r="K635" s="22">
        <v>6.25E-2</v>
      </c>
      <c r="L635" s="4"/>
      <c r="M635" s="4"/>
      <c r="N635" t="s">
        <v>1509</v>
      </c>
      <c r="O635" s="4"/>
      <c r="P635" t="s">
        <v>520</v>
      </c>
      <c r="Q635">
        <v>23</v>
      </c>
    </row>
    <row r="636" spans="1:17" ht="14.25" customHeight="1" x14ac:dyDescent="0.25">
      <c r="A636" s="4"/>
      <c r="B636" s="21">
        <v>44216</v>
      </c>
      <c r="C636" s="5">
        <f t="shared" si="18"/>
        <v>4</v>
      </c>
      <c r="D636" s="5">
        <f t="shared" si="19"/>
        <v>4</v>
      </c>
      <c r="E636" s="1" t="s">
        <v>5</v>
      </c>
      <c r="F636" s="1" t="s">
        <v>19</v>
      </c>
      <c r="G636">
        <v>47737</v>
      </c>
      <c r="H636">
        <v>100655</v>
      </c>
      <c r="I636" s="4"/>
      <c r="J636" s="22">
        <v>0.44722222222222219</v>
      </c>
      <c r="K636" s="22">
        <v>0.23402777777777781</v>
      </c>
      <c r="L636" s="4"/>
      <c r="M636" s="4"/>
      <c r="N636" t="s">
        <v>1510</v>
      </c>
      <c r="O636" s="4"/>
      <c r="P636" t="s">
        <v>166</v>
      </c>
      <c r="Q636">
        <v>33</v>
      </c>
    </row>
    <row r="637" spans="1:17" ht="14.25" customHeight="1" x14ac:dyDescent="0.25">
      <c r="A637" s="4"/>
      <c r="B637" s="21">
        <v>44216</v>
      </c>
      <c r="C637" s="5">
        <f t="shared" si="18"/>
        <v>4</v>
      </c>
      <c r="D637" s="5">
        <f t="shared" si="19"/>
        <v>4</v>
      </c>
      <c r="E637" s="1" t="s">
        <v>6</v>
      </c>
      <c r="F637" s="1" t="s">
        <v>12</v>
      </c>
      <c r="G637">
        <v>47738</v>
      </c>
      <c r="H637">
        <v>100656</v>
      </c>
      <c r="I637" s="4"/>
      <c r="J637" s="22">
        <v>0.46736111111111112</v>
      </c>
      <c r="K637" s="22">
        <v>0.31666666666666665</v>
      </c>
      <c r="L637" s="4"/>
      <c r="M637" s="4"/>
      <c r="N637" t="s">
        <v>1511</v>
      </c>
      <c r="O637" s="4"/>
      <c r="P637" t="s">
        <v>615</v>
      </c>
      <c r="Q637">
        <v>30</v>
      </c>
    </row>
    <row r="638" spans="1:17" ht="14.25" customHeight="1" x14ac:dyDescent="0.25">
      <c r="A638" s="4"/>
      <c r="B638" s="21">
        <v>44216</v>
      </c>
      <c r="C638" s="5">
        <f t="shared" si="18"/>
        <v>4</v>
      </c>
      <c r="D638" s="5">
        <f t="shared" si="19"/>
        <v>4</v>
      </c>
      <c r="E638" s="1" t="s">
        <v>7</v>
      </c>
      <c r="F638" s="1" t="s">
        <v>14</v>
      </c>
      <c r="G638">
        <v>47742</v>
      </c>
      <c r="H638">
        <v>100656</v>
      </c>
      <c r="I638" s="4"/>
      <c r="J638" s="22">
        <v>0.39861111111111108</v>
      </c>
      <c r="K638" s="22">
        <v>0.63263888888888886</v>
      </c>
      <c r="L638" s="4"/>
      <c r="M638" s="4"/>
      <c r="N638" t="s">
        <v>1512</v>
      </c>
      <c r="O638" s="4"/>
      <c r="P638" t="s">
        <v>210</v>
      </c>
      <c r="Q638">
        <v>10</v>
      </c>
    </row>
    <row r="639" spans="1:17" ht="14.25" customHeight="1" x14ac:dyDescent="0.25">
      <c r="A639" s="4"/>
      <c r="B639" s="21">
        <v>44217</v>
      </c>
      <c r="C639" s="5">
        <f t="shared" si="18"/>
        <v>4</v>
      </c>
      <c r="D639" s="5">
        <f t="shared" si="19"/>
        <v>5</v>
      </c>
      <c r="E639" s="1" t="s">
        <v>7</v>
      </c>
      <c r="F639" s="1" t="s">
        <v>15</v>
      </c>
      <c r="G639">
        <v>47742</v>
      </c>
      <c r="H639">
        <v>100661</v>
      </c>
      <c r="I639" s="4"/>
      <c r="J639" s="22">
        <v>0.41111111111111115</v>
      </c>
      <c r="K639" s="22">
        <v>0.9375</v>
      </c>
      <c r="L639" s="4"/>
      <c r="M639" s="4"/>
      <c r="N639" t="s">
        <v>1513</v>
      </c>
      <c r="O639" s="4"/>
      <c r="P639" t="s">
        <v>616</v>
      </c>
      <c r="Q639">
        <v>6</v>
      </c>
    </row>
    <row r="640" spans="1:17" ht="14.25" customHeight="1" x14ac:dyDescent="0.25">
      <c r="A640" s="4"/>
      <c r="B640" s="21">
        <v>44217</v>
      </c>
      <c r="C640" s="5">
        <f t="shared" si="18"/>
        <v>4</v>
      </c>
      <c r="D640" s="5">
        <f t="shared" si="19"/>
        <v>5</v>
      </c>
      <c r="E640" s="1" t="s">
        <v>7</v>
      </c>
      <c r="F640" s="1" t="s">
        <v>14</v>
      </c>
      <c r="G640">
        <v>47742</v>
      </c>
      <c r="H640">
        <v>100661</v>
      </c>
      <c r="I640" s="4"/>
      <c r="J640" s="22">
        <v>0.26180555555555557</v>
      </c>
      <c r="K640" s="22">
        <v>2.0833333333333332E-2</v>
      </c>
      <c r="L640" s="4"/>
      <c r="M640" s="4"/>
      <c r="N640" t="s">
        <v>1514</v>
      </c>
      <c r="O640" s="4"/>
      <c r="P640" t="s">
        <v>217</v>
      </c>
      <c r="Q640">
        <v>27</v>
      </c>
    </row>
    <row r="641" spans="1:17" ht="14.25" customHeight="1" x14ac:dyDescent="0.25">
      <c r="A641" s="4"/>
      <c r="B641" s="21">
        <v>44217</v>
      </c>
      <c r="C641" s="5">
        <f t="shared" si="18"/>
        <v>4</v>
      </c>
      <c r="D641" s="5">
        <f t="shared" si="19"/>
        <v>5</v>
      </c>
      <c r="E641" s="1" t="s">
        <v>7</v>
      </c>
      <c r="F641" s="1" t="s">
        <v>16</v>
      </c>
      <c r="G641">
        <v>47743</v>
      </c>
      <c r="H641">
        <v>100661</v>
      </c>
      <c r="I641" s="4"/>
      <c r="J641" s="22">
        <v>0.31527777777777777</v>
      </c>
      <c r="K641" s="22">
        <v>0.63541666666666663</v>
      </c>
      <c r="L641" s="4"/>
      <c r="M641" s="4"/>
      <c r="N641" t="s">
        <v>1515</v>
      </c>
      <c r="O641" s="4"/>
      <c r="P641" t="s">
        <v>617</v>
      </c>
      <c r="Q641">
        <v>13</v>
      </c>
    </row>
    <row r="642" spans="1:17" ht="14.25" customHeight="1" x14ac:dyDescent="0.25">
      <c r="A642" s="4"/>
      <c r="B642" s="21">
        <v>44217</v>
      </c>
      <c r="C642" s="5">
        <f t="shared" si="18"/>
        <v>4</v>
      </c>
      <c r="D642" s="5">
        <f t="shared" si="19"/>
        <v>5</v>
      </c>
      <c r="E642" s="1" t="s">
        <v>7</v>
      </c>
      <c r="F642" s="1" t="s">
        <v>16</v>
      </c>
      <c r="G642">
        <v>47743</v>
      </c>
      <c r="H642">
        <v>100664</v>
      </c>
      <c r="I642" s="4"/>
      <c r="J642" s="22">
        <v>0.44513888888888892</v>
      </c>
      <c r="K642" s="22">
        <v>0.90416666666666667</v>
      </c>
      <c r="L642" s="4"/>
      <c r="M642" s="4"/>
      <c r="N642" t="s">
        <v>1516</v>
      </c>
      <c r="O642" s="4"/>
      <c r="P642" t="s">
        <v>618</v>
      </c>
      <c r="Q642">
        <v>27</v>
      </c>
    </row>
    <row r="643" spans="1:17" ht="14.25" customHeight="1" x14ac:dyDescent="0.25">
      <c r="A643" s="4"/>
      <c r="B643" s="21">
        <v>44217</v>
      </c>
      <c r="C643" s="5">
        <f t="shared" ref="C643:C706" si="20">WEEKNUM(B643)</f>
        <v>4</v>
      </c>
      <c r="D643" s="5">
        <f t="shared" ref="D643:D706" si="21">WEEKDAY(B643)</f>
        <v>5</v>
      </c>
      <c r="E643" s="1" t="s">
        <v>7</v>
      </c>
      <c r="F643" s="1" t="s">
        <v>14</v>
      </c>
      <c r="G643">
        <v>47745</v>
      </c>
      <c r="H643">
        <v>100665</v>
      </c>
      <c r="I643" s="4"/>
      <c r="J643" s="22">
        <v>0.29444444444444445</v>
      </c>
      <c r="K643" s="22">
        <v>0.55625000000000002</v>
      </c>
      <c r="L643" s="4"/>
      <c r="M643" s="4"/>
      <c r="N643" t="s">
        <v>1517</v>
      </c>
      <c r="O643" s="4"/>
      <c r="P643" t="s">
        <v>619</v>
      </c>
      <c r="Q643">
        <v>29</v>
      </c>
    </row>
    <row r="644" spans="1:17" ht="14.25" customHeight="1" x14ac:dyDescent="0.25">
      <c r="A644" s="4"/>
      <c r="B644" s="21">
        <v>44217</v>
      </c>
      <c r="C644" s="5">
        <f t="shared" si="20"/>
        <v>4</v>
      </c>
      <c r="D644" s="5">
        <f t="shared" si="21"/>
        <v>5</v>
      </c>
      <c r="E644" s="1" t="s">
        <v>5</v>
      </c>
      <c r="F644" s="1" t="s">
        <v>18</v>
      </c>
      <c r="G644">
        <v>47746</v>
      </c>
      <c r="H644">
        <v>100671</v>
      </c>
      <c r="I644" s="4"/>
      <c r="J644" s="22">
        <v>0.47361111111111115</v>
      </c>
      <c r="K644" s="22">
        <v>0.96250000000000002</v>
      </c>
      <c r="L644" s="4"/>
      <c r="M644" s="4"/>
      <c r="N644" t="s">
        <v>1518</v>
      </c>
      <c r="O644" s="4"/>
      <c r="P644" t="s">
        <v>620</v>
      </c>
      <c r="Q644">
        <v>25</v>
      </c>
    </row>
    <row r="645" spans="1:17" ht="14.25" customHeight="1" x14ac:dyDescent="0.25">
      <c r="A645" s="4"/>
      <c r="B645" s="21">
        <v>44217</v>
      </c>
      <c r="C645" s="5">
        <f t="shared" si="20"/>
        <v>4</v>
      </c>
      <c r="D645" s="5">
        <f t="shared" si="21"/>
        <v>5</v>
      </c>
      <c r="E645" s="1" t="s">
        <v>5</v>
      </c>
      <c r="F645" s="1" t="s">
        <v>18</v>
      </c>
      <c r="G645">
        <v>47747</v>
      </c>
      <c r="H645">
        <v>100672</v>
      </c>
      <c r="I645" s="4"/>
      <c r="J645" s="22">
        <v>0.31875000000000003</v>
      </c>
      <c r="K645" s="22">
        <v>0.13263888888888889</v>
      </c>
      <c r="L645" s="4"/>
      <c r="M645" s="4"/>
      <c r="N645" t="s">
        <v>1519</v>
      </c>
      <c r="O645" s="4"/>
      <c r="P645" t="s">
        <v>621</v>
      </c>
      <c r="Q645">
        <v>17</v>
      </c>
    </row>
    <row r="646" spans="1:17" ht="14.25" customHeight="1" x14ac:dyDescent="0.25">
      <c r="A646" s="4"/>
      <c r="B646" s="21">
        <v>44217</v>
      </c>
      <c r="C646" s="5">
        <f t="shared" si="20"/>
        <v>4</v>
      </c>
      <c r="D646" s="5">
        <f t="shared" si="21"/>
        <v>5</v>
      </c>
      <c r="E646" s="1" t="s">
        <v>7</v>
      </c>
      <c r="F646" s="1" t="s">
        <v>16</v>
      </c>
      <c r="G646">
        <v>47750</v>
      </c>
      <c r="H646">
        <v>100673</v>
      </c>
      <c r="I646" s="4"/>
      <c r="J646" s="22">
        <v>0.47986111111111113</v>
      </c>
      <c r="K646" s="22">
        <v>0.99652777777777779</v>
      </c>
      <c r="L646" s="4"/>
      <c r="M646" s="4"/>
      <c r="N646" t="s">
        <v>1520</v>
      </c>
      <c r="O646" s="4"/>
      <c r="P646" t="s">
        <v>590</v>
      </c>
      <c r="Q646">
        <v>31</v>
      </c>
    </row>
    <row r="647" spans="1:17" ht="14.25" customHeight="1" x14ac:dyDescent="0.25">
      <c r="A647" s="4"/>
      <c r="B647" s="21">
        <v>44217</v>
      </c>
      <c r="C647" s="5">
        <f t="shared" si="20"/>
        <v>4</v>
      </c>
      <c r="D647" s="5">
        <f t="shared" si="21"/>
        <v>5</v>
      </c>
      <c r="E647" s="1" t="s">
        <v>5</v>
      </c>
      <c r="F647" s="1" t="s">
        <v>20</v>
      </c>
      <c r="G647">
        <v>47751</v>
      </c>
      <c r="H647">
        <v>100674</v>
      </c>
      <c r="I647" s="4"/>
      <c r="J647" s="22">
        <v>0.34027777777777773</v>
      </c>
      <c r="K647" s="22">
        <v>0.27569444444444446</v>
      </c>
      <c r="L647" s="4"/>
      <c r="M647" s="4"/>
      <c r="N647" t="s">
        <v>1521</v>
      </c>
      <c r="O647" s="4"/>
      <c r="P647" t="s">
        <v>622</v>
      </c>
      <c r="Q647">
        <v>20</v>
      </c>
    </row>
    <row r="648" spans="1:17" ht="14.25" customHeight="1" x14ac:dyDescent="0.25">
      <c r="A648" s="4"/>
      <c r="B648" s="21">
        <v>44217</v>
      </c>
      <c r="C648" s="5">
        <f t="shared" si="20"/>
        <v>4</v>
      </c>
      <c r="D648" s="5">
        <f t="shared" si="21"/>
        <v>5</v>
      </c>
      <c r="E648" s="1" t="s">
        <v>7</v>
      </c>
      <c r="F648" s="1" t="s">
        <v>16</v>
      </c>
      <c r="G648">
        <v>47755</v>
      </c>
      <c r="H648">
        <v>100674</v>
      </c>
      <c r="I648" s="4"/>
      <c r="J648" s="22">
        <v>0.2590277777777778</v>
      </c>
      <c r="K648" s="22">
        <v>0.21875</v>
      </c>
      <c r="L648" s="4"/>
      <c r="M648" s="4"/>
      <c r="N648" t="s">
        <v>1522</v>
      </c>
      <c r="O648" s="4"/>
      <c r="P648" t="s">
        <v>623</v>
      </c>
      <c r="Q648">
        <v>22</v>
      </c>
    </row>
    <row r="649" spans="1:17" ht="14.25" customHeight="1" x14ac:dyDescent="0.25">
      <c r="A649" s="4"/>
      <c r="B649" s="21">
        <v>44217</v>
      </c>
      <c r="C649" s="5">
        <f t="shared" si="20"/>
        <v>4</v>
      </c>
      <c r="D649" s="5">
        <f t="shared" si="21"/>
        <v>5</v>
      </c>
      <c r="E649" s="1" t="s">
        <v>6</v>
      </c>
      <c r="F649" s="1" t="s">
        <v>13</v>
      </c>
      <c r="G649">
        <v>47755</v>
      </c>
      <c r="H649">
        <v>100675</v>
      </c>
      <c r="I649" s="4"/>
      <c r="J649" s="22">
        <v>0.30972222222222223</v>
      </c>
      <c r="K649" s="22">
        <v>0.56874999999999998</v>
      </c>
      <c r="L649" s="4"/>
      <c r="M649" s="4"/>
      <c r="N649" t="s">
        <v>1523</v>
      </c>
      <c r="O649" s="4"/>
      <c r="P649" t="s">
        <v>586</v>
      </c>
      <c r="Q649">
        <v>24</v>
      </c>
    </row>
    <row r="650" spans="1:17" ht="14.25" customHeight="1" x14ac:dyDescent="0.25">
      <c r="A650" s="4"/>
      <c r="B650" s="21">
        <v>44217</v>
      </c>
      <c r="C650" s="5">
        <f t="shared" si="20"/>
        <v>4</v>
      </c>
      <c r="D650" s="5">
        <f t="shared" si="21"/>
        <v>5</v>
      </c>
      <c r="E650" s="1" t="s">
        <v>5</v>
      </c>
      <c r="F650" s="1" t="s">
        <v>17</v>
      </c>
      <c r="G650">
        <v>47755</v>
      </c>
      <c r="H650">
        <v>100676</v>
      </c>
      <c r="I650" s="4"/>
      <c r="J650" s="22">
        <v>0.3125</v>
      </c>
      <c r="K650" s="22">
        <v>0.28611111111111115</v>
      </c>
      <c r="L650" s="4"/>
      <c r="M650" s="4"/>
      <c r="N650" t="s">
        <v>1524</v>
      </c>
      <c r="O650" s="4"/>
      <c r="P650" t="s">
        <v>624</v>
      </c>
      <c r="Q650">
        <v>14</v>
      </c>
    </row>
    <row r="651" spans="1:17" ht="14.25" customHeight="1" x14ac:dyDescent="0.25">
      <c r="A651" s="4"/>
      <c r="B651" s="21">
        <v>44217</v>
      </c>
      <c r="C651" s="5">
        <f t="shared" si="20"/>
        <v>4</v>
      </c>
      <c r="D651" s="5">
        <f t="shared" si="21"/>
        <v>5</v>
      </c>
      <c r="E651" s="1" t="s">
        <v>5</v>
      </c>
      <c r="F651" s="1" t="s">
        <v>20</v>
      </c>
      <c r="G651">
        <v>47756</v>
      </c>
      <c r="H651">
        <v>100678</v>
      </c>
      <c r="I651" s="4"/>
      <c r="J651" s="22">
        <v>0.4777777777777778</v>
      </c>
      <c r="K651" s="22">
        <v>2.5694444444444447E-2</v>
      </c>
      <c r="L651" s="4"/>
      <c r="M651" s="4"/>
      <c r="N651" t="s">
        <v>1525</v>
      </c>
      <c r="O651" s="4"/>
      <c r="P651" t="s">
        <v>625</v>
      </c>
      <c r="Q651">
        <v>24</v>
      </c>
    </row>
    <row r="652" spans="1:17" ht="14.25" customHeight="1" x14ac:dyDescent="0.25">
      <c r="A652" s="4"/>
      <c r="B652" s="21">
        <v>44217</v>
      </c>
      <c r="C652" s="5">
        <f t="shared" si="20"/>
        <v>4</v>
      </c>
      <c r="D652" s="5">
        <f t="shared" si="21"/>
        <v>5</v>
      </c>
      <c r="E652" s="1" t="s">
        <v>5</v>
      </c>
      <c r="F652" s="1" t="s">
        <v>19</v>
      </c>
      <c r="G652">
        <v>47757</v>
      </c>
      <c r="H652">
        <v>100678</v>
      </c>
      <c r="I652" s="4"/>
      <c r="J652" s="22">
        <v>0.36874999999999997</v>
      </c>
      <c r="K652" s="22">
        <v>0.3756944444444445</v>
      </c>
      <c r="L652" s="4"/>
      <c r="M652" s="4"/>
      <c r="N652" t="s">
        <v>1526</v>
      </c>
      <c r="O652" s="4"/>
      <c r="P652" t="s">
        <v>626</v>
      </c>
      <c r="Q652">
        <v>7</v>
      </c>
    </row>
    <row r="653" spans="1:17" ht="14.25" customHeight="1" x14ac:dyDescent="0.25">
      <c r="A653" s="4"/>
      <c r="B653" s="21">
        <v>44217</v>
      </c>
      <c r="C653" s="5">
        <f t="shared" si="20"/>
        <v>4</v>
      </c>
      <c r="D653" s="5">
        <f t="shared" si="21"/>
        <v>5</v>
      </c>
      <c r="E653" s="1" t="s">
        <v>6</v>
      </c>
      <c r="F653" s="1" t="s">
        <v>12</v>
      </c>
      <c r="G653">
        <v>47759</v>
      </c>
      <c r="H653">
        <v>100679</v>
      </c>
      <c r="I653" s="4"/>
      <c r="J653" s="22">
        <v>0.32916666666666666</v>
      </c>
      <c r="K653" s="22">
        <v>0.87638888888888899</v>
      </c>
      <c r="L653" s="4"/>
      <c r="M653" s="4"/>
      <c r="N653" t="s">
        <v>1527</v>
      </c>
      <c r="O653" s="4"/>
      <c r="P653" t="s">
        <v>627</v>
      </c>
      <c r="Q653">
        <v>6</v>
      </c>
    </row>
    <row r="654" spans="1:17" ht="14.25" customHeight="1" x14ac:dyDescent="0.25">
      <c r="A654" s="4"/>
      <c r="B654" s="21">
        <v>44217</v>
      </c>
      <c r="C654" s="5">
        <f t="shared" si="20"/>
        <v>4</v>
      </c>
      <c r="D654" s="5">
        <f t="shared" si="21"/>
        <v>5</v>
      </c>
      <c r="E654" s="1" t="s">
        <v>5</v>
      </c>
      <c r="F654" s="1" t="s">
        <v>19</v>
      </c>
      <c r="G654">
        <v>47760</v>
      </c>
      <c r="H654">
        <v>100679</v>
      </c>
      <c r="I654" s="4"/>
      <c r="J654" s="22">
        <v>0.26250000000000001</v>
      </c>
      <c r="K654" s="22">
        <v>0.78333333333333333</v>
      </c>
      <c r="L654" s="4"/>
      <c r="M654" s="4"/>
      <c r="N654" t="s">
        <v>1528</v>
      </c>
      <c r="O654" s="4"/>
      <c r="P654" t="s">
        <v>628</v>
      </c>
      <c r="Q654">
        <v>4</v>
      </c>
    </row>
    <row r="655" spans="1:17" ht="14.25" customHeight="1" x14ac:dyDescent="0.25">
      <c r="A655" s="4"/>
      <c r="B655" s="21">
        <v>44217</v>
      </c>
      <c r="C655" s="5">
        <f t="shared" si="20"/>
        <v>4</v>
      </c>
      <c r="D655" s="5">
        <f t="shared" si="21"/>
        <v>5</v>
      </c>
      <c r="E655" s="1" t="s">
        <v>5</v>
      </c>
      <c r="F655" s="1" t="s">
        <v>19</v>
      </c>
      <c r="G655">
        <v>47761</v>
      </c>
      <c r="H655">
        <v>100680</v>
      </c>
      <c r="I655" s="4"/>
      <c r="J655" s="22">
        <v>0.28125</v>
      </c>
      <c r="K655" s="22">
        <v>0.75208333333333333</v>
      </c>
      <c r="L655" s="4"/>
      <c r="M655" s="4"/>
      <c r="N655" t="s">
        <v>1529</v>
      </c>
      <c r="O655" s="4"/>
      <c r="P655" t="s">
        <v>629</v>
      </c>
      <c r="Q655">
        <v>29</v>
      </c>
    </row>
    <row r="656" spans="1:17" ht="14.25" customHeight="1" x14ac:dyDescent="0.25">
      <c r="A656" s="4"/>
      <c r="B656" s="21">
        <v>44217</v>
      </c>
      <c r="C656" s="5">
        <f t="shared" si="20"/>
        <v>4</v>
      </c>
      <c r="D656" s="5">
        <f t="shared" si="21"/>
        <v>5</v>
      </c>
      <c r="E656" s="1" t="s">
        <v>5</v>
      </c>
      <c r="F656" s="1" t="s">
        <v>20</v>
      </c>
      <c r="G656">
        <v>47762</v>
      </c>
      <c r="H656">
        <v>100680</v>
      </c>
      <c r="I656" s="4"/>
      <c r="J656" s="22">
        <v>0.4597222222222222</v>
      </c>
      <c r="K656" s="22">
        <v>0.83263888888888893</v>
      </c>
      <c r="L656" s="4"/>
      <c r="M656" s="4"/>
      <c r="N656" t="s">
        <v>1530</v>
      </c>
      <c r="O656" s="4"/>
      <c r="P656" t="s">
        <v>386</v>
      </c>
      <c r="Q656">
        <v>4</v>
      </c>
    </row>
    <row r="657" spans="1:17" ht="14.25" customHeight="1" x14ac:dyDescent="0.25">
      <c r="A657" s="4"/>
      <c r="B657" s="21">
        <v>44217</v>
      </c>
      <c r="C657" s="5">
        <f t="shared" si="20"/>
        <v>4</v>
      </c>
      <c r="D657" s="5">
        <f t="shared" si="21"/>
        <v>5</v>
      </c>
      <c r="E657" s="1" t="s">
        <v>5</v>
      </c>
      <c r="F657" s="1" t="s">
        <v>18</v>
      </c>
      <c r="G657">
        <v>47762</v>
      </c>
      <c r="H657">
        <v>100680</v>
      </c>
      <c r="I657" s="4"/>
      <c r="J657" s="22">
        <v>0.3298611111111111</v>
      </c>
      <c r="K657" s="22">
        <v>0.33680555555555558</v>
      </c>
      <c r="L657" s="4"/>
      <c r="M657" s="4"/>
      <c r="N657" t="s">
        <v>1531</v>
      </c>
      <c r="O657" s="4"/>
      <c r="P657" t="s">
        <v>572</v>
      </c>
      <c r="Q657">
        <v>14</v>
      </c>
    </row>
    <row r="658" spans="1:17" ht="14.25" customHeight="1" x14ac:dyDescent="0.25">
      <c r="A658" s="4"/>
      <c r="B658" s="21">
        <v>44217</v>
      </c>
      <c r="C658" s="5">
        <f t="shared" si="20"/>
        <v>4</v>
      </c>
      <c r="D658" s="5">
        <f t="shared" si="21"/>
        <v>5</v>
      </c>
      <c r="E658" s="1" t="s">
        <v>6</v>
      </c>
      <c r="F658" s="1" t="s">
        <v>13</v>
      </c>
      <c r="G658">
        <v>47767</v>
      </c>
      <c r="H658">
        <v>100682</v>
      </c>
      <c r="I658" s="4"/>
      <c r="J658" s="22">
        <v>0.40277777777777773</v>
      </c>
      <c r="K658" s="22">
        <v>0.70277777777777783</v>
      </c>
      <c r="L658" s="4"/>
      <c r="M658" s="4"/>
      <c r="N658" t="s">
        <v>1532</v>
      </c>
      <c r="O658" s="4"/>
      <c r="P658" t="s">
        <v>584</v>
      </c>
      <c r="Q658">
        <v>8</v>
      </c>
    </row>
    <row r="659" spans="1:17" ht="14.25" customHeight="1" x14ac:dyDescent="0.25">
      <c r="A659" s="4"/>
      <c r="B659" s="21">
        <v>44217</v>
      </c>
      <c r="C659" s="5">
        <f t="shared" si="20"/>
        <v>4</v>
      </c>
      <c r="D659" s="5">
        <f t="shared" si="21"/>
        <v>5</v>
      </c>
      <c r="E659" s="1" t="s">
        <v>5</v>
      </c>
      <c r="F659" s="1" t="s">
        <v>20</v>
      </c>
      <c r="G659">
        <v>47768</v>
      </c>
      <c r="H659">
        <v>100683</v>
      </c>
      <c r="I659" s="4"/>
      <c r="J659" s="22">
        <v>0.46249999999999997</v>
      </c>
      <c r="K659" s="22">
        <v>0.24027777777777778</v>
      </c>
      <c r="L659" s="4"/>
      <c r="M659" s="4"/>
      <c r="N659" t="s">
        <v>1533</v>
      </c>
      <c r="O659" s="4"/>
      <c r="P659" t="s">
        <v>630</v>
      </c>
      <c r="Q659">
        <v>6</v>
      </c>
    </row>
    <row r="660" spans="1:17" ht="14.25" customHeight="1" x14ac:dyDescent="0.25">
      <c r="A660" s="4"/>
      <c r="B660" s="21">
        <v>44217</v>
      </c>
      <c r="C660" s="5">
        <f t="shared" si="20"/>
        <v>4</v>
      </c>
      <c r="D660" s="5">
        <f t="shared" si="21"/>
        <v>5</v>
      </c>
      <c r="E660" s="1" t="s">
        <v>5</v>
      </c>
      <c r="F660" s="1" t="s">
        <v>19</v>
      </c>
      <c r="G660">
        <v>47769</v>
      </c>
      <c r="H660">
        <v>100683</v>
      </c>
      <c r="I660" s="4"/>
      <c r="J660" s="22">
        <v>0.31041666666666667</v>
      </c>
      <c r="K660" s="22">
        <v>5.6944444444444443E-2</v>
      </c>
      <c r="L660" s="4"/>
      <c r="M660" s="4"/>
      <c r="N660" t="s">
        <v>1534</v>
      </c>
      <c r="O660" s="4"/>
      <c r="P660" t="s">
        <v>255</v>
      </c>
      <c r="Q660">
        <v>28</v>
      </c>
    </row>
    <row r="661" spans="1:17" ht="14.25" customHeight="1" x14ac:dyDescent="0.25">
      <c r="A661" s="4"/>
      <c r="B661" s="21">
        <v>44217</v>
      </c>
      <c r="C661" s="5">
        <f t="shared" si="20"/>
        <v>4</v>
      </c>
      <c r="D661" s="5">
        <f t="shared" si="21"/>
        <v>5</v>
      </c>
      <c r="E661" s="1" t="s">
        <v>7</v>
      </c>
      <c r="F661" s="1" t="s">
        <v>14</v>
      </c>
      <c r="G661">
        <v>47769</v>
      </c>
      <c r="H661">
        <v>100683</v>
      </c>
      <c r="I661" s="4"/>
      <c r="J661" s="22">
        <v>0.41041666666666665</v>
      </c>
      <c r="K661" s="22">
        <v>0.91736111111111107</v>
      </c>
      <c r="L661" s="4"/>
      <c r="M661" s="4"/>
      <c r="N661" t="s">
        <v>1535</v>
      </c>
      <c r="O661" s="4"/>
      <c r="P661" t="s">
        <v>631</v>
      </c>
      <c r="Q661">
        <v>9</v>
      </c>
    </row>
    <row r="662" spans="1:17" ht="14.25" customHeight="1" x14ac:dyDescent="0.25">
      <c r="A662" s="4"/>
      <c r="B662" s="21">
        <v>44217</v>
      </c>
      <c r="C662" s="5">
        <f t="shared" si="20"/>
        <v>4</v>
      </c>
      <c r="D662" s="5">
        <f t="shared" si="21"/>
        <v>5</v>
      </c>
      <c r="E662" s="1" t="s">
        <v>5</v>
      </c>
      <c r="F662" s="1" t="s">
        <v>18</v>
      </c>
      <c r="G662">
        <v>47771</v>
      </c>
      <c r="H662">
        <v>100683</v>
      </c>
      <c r="I662" s="4"/>
      <c r="J662" s="22">
        <v>0.39513888888888887</v>
      </c>
      <c r="K662" s="22">
        <v>0.90763888888888899</v>
      </c>
      <c r="L662" s="4"/>
      <c r="M662" s="4"/>
      <c r="N662" t="s">
        <v>1536</v>
      </c>
      <c r="O662" s="4"/>
      <c r="P662" t="s">
        <v>632</v>
      </c>
      <c r="Q662">
        <v>28</v>
      </c>
    </row>
    <row r="663" spans="1:17" ht="14.25" customHeight="1" x14ac:dyDescent="0.25">
      <c r="A663" s="4"/>
      <c r="B663" s="21">
        <v>44217</v>
      </c>
      <c r="C663" s="5">
        <f t="shared" si="20"/>
        <v>4</v>
      </c>
      <c r="D663" s="5">
        <f t="shared" si="21"/>
        <v>5</v>
      </c>
      <c r="E663" s="1" t="s">
        <v>6</v>
      </c>
      <c r="F663" s="1" t="s">
        <v>11</v>
      </c>
      <c r="G663">
        <v>47771</v>
      </c>
      <c r="H663">
        <v>100683</v>
      </c>
      <c r="I663" s="4"/>
      <c r="J663" s="22">
        <v>0.3888888888888889</v>
      </c>
      <c r="K663" s="22">
        <v>0.7270833333333333</v>
      </c>
      <c r="L663" s="4"/>
      <c r="M663" s="4"/>
      <c r="N663" t="s">
        <v>1537</v>
      </c>
      <c r="O663" s="4"/>
      <c r="P663" t="s">
        <v>298</v>
      </c>
      <c r="Q663">
        <v>14</v>
      </c>
    </row>
    <row r="664" spans="1:17" ht="14.25" customHeight="1" x14ac:dyDescent="0.25">
      <c r="A664" s="4"/>
      <c r="B664" s="21">
        <v>44217</v>
      </c>
      <c r="C664" s="5">
        <f t="shared" si="20"/>
        <v>4</v>
      </c>
      <c r="D664" s="5">
        <f t="shared" si="21"/>
        <v>5</v>
      </c>
      <c r="E664" s="1" t="s">
        <v>7</v>
      </c>
      <c r="F664" s="1" t="s">
        <v>16</v>
      </c>
      <c r="G664">
        <v>47772</v>
      </c>
      <c r="H664">
        <v>100683</v>
      </c>
      <c r="I664" s="4"/>
      <c r="J664" s="22">
        <v>0.44305555555555554</v>
      </c>
      <c r="K664" s="22">
        <v>0.19583333333333333</v>
      </c>
      <c r="L664" s="4"/>
      <c r="M664" s="4"/>
      <c r="N664" t="s">
        <v>1538</v>
      </c>
      <c r="O664" s="4"/>
      <c r="P664" t="s">
        <v>633</v>
      </c>
      <c r="Q664">
        <v>26</v>
      </c>
    </row>
    <row r="665" spans="1:17" ht="14.25" customHeight="1" x14ac:dyDescent="0.25">
      <c r="A665" s="4"/>
      <c r="B665" s="21">
        <v>44217</v>
      </c>
      <c r="C665" s="5">
        <f t="shared" si="20"/>
        <v>4</v>
      </c>
      <c r="D665" s="5">
        <f t="shared" si="21"/>
        <v>5</v>
      </c>
      <c r="E665" s="1" t="s">
        <v>7</v>
      </c>
      <c r="F665" s="1" t="s">
        <v>16</v>
      </c>
      <c r="G665">
        <v>47772</v>
      </c>
      <c r="H665">
        <v>100684</v>
      </c>
      <c r="I665" s="4"/>
      <c r="J665" s="22">
        <v>0.3347222222222222</v>
      </c>
      <c r="K665" s="22">
        <v>0.86597222222222225</v>
      </c>
      <c r="L665" s="4"/>
      <c r="M665" s="4"/>
      <c r="N665" t="s">
        <v>1539</v>
      </c>
      <c r="O665" s="4"/>
      <c r="P665" t="s">
        <v>634</v>
      </c>
      <c r="Q665">
        <v>24</v>
      </c>
    </row>
    <row r="666" spans="1:17" ht="14.25" customHeight="1" x14ac:dyDescent="0.25">
      <c r="A666" s="4"/>
      <c r="B666" s="21">
        <v>44217</v>
      </c>
      <c r="C666" s="5">
        <f t="shared" si="20"/>
        <v>4</v>
      </c>
      <c r="D666" s="5">
        <f t="shared" si="21"/>
        <v>5</v>
      </c>
      <c r="E666" s="1" t="s">
        <v>5</v>
      </c>
      <c r="F666" s="1" t="s">
        <v>19</v>
      </c>
      <c r="G666">
        <v>47774</v>
      </c>
      <c r="H666">
        <v>100687</v>
      </c>
      <c r="I666" s="4"/>
      <c r="J666" s="22">
        <v>0.33402777777777781</v>
      </c>
      <c r="K666" s="22">
        <v>0.13055555555555556</v>
      </c>
      <c r="L666" s="4"/>
      <c r="M666" s="4"/>
      <c r="N666" t="s">
        <v>1540</v>
      </c>
      <c r="O666" s="4"/>
      <c r="P666" t="s">
        <v>635</v>
      </c>
      <c r="Q666">
        <v>5</v>
      </c>
    </row>
    <row r="667" spans="1:17" ht="14.25" customHeight="1" x14ac:dyDescent="0.25">
      <c r="A667" s="4"/>
      <c r="B667" s="21">
        <v>44217</v>
      </c>
      <c r="C667" s="5">
        <f t="shared" si="20"/>
        <v>4</v>
      </c>
      <c r="D667" s="5">
        <f t="shared" si="21"/>
        <v>5</v>
      </c>
      <c r="E667" s="1" t="s">
        <v>6</v>
      </c>
      <c r="F667" s="1" t="s">
        <v>13</v>
      </c>
      <c r="G667">
        <v>47776</v>
      </c>
      <c r="H667">
        <v>100687</v>
      </c>
      <c r="I667" s="4"/>
      <c r="J667" s="22">
        <v>0.29097222222222224</v>
      </c>
      <c r="K667" s="22">
        <v>0.4236111111111111</v>
      </c>
      <c r="L667" s="4"/>
      <c r="M667" s="4"/>
      <c r="N667" t="s">
        <v>1541</v>
      </c>
      <c r="O667" s="4"/>
      <c r="P667" t="s">
        <v>452</v>
      </c>
      <c r="Q667">
        <v>20</v>
      </c>
    </row>
    <row r="668" spans="1:17" ht="14.25" customHeight="1" x14ac:dyDescent="0.25">
      <c r="A668" s="4"/>
      <c r="B668" s="21">
        <v>44217</v>
      </c>
      <c r="C668" s="5">
        <f t="shared" si="20"/>
        <v>4</v>
      </c>
      <c r="D668" s="5">
        <f t="shared" si="21"/>
        <v>5</v>
      </c>
      <c r="E668" s="1" t="s">
        <v>5</v>
      </c>
      <c r="F668" s="1" t="s">
        <v>19</v>
      </c>
      <c r="G668">
        <v>47777</v>
      </c>
      <c r="H668">
        <v>100688</v>
      </c>
      <c r="I668" s="4"/>
      <c r="J668" s="22">
        <v>0.39861111111111108</v>
      </c>
      <c r="K668" s="22">
        <v>7.3611111111111113E-2</v>
      </c>
      <c r="L668" s="4"/>
      <c r="M668" s="4"/>
      <c r="N668" t="s">
        <v>1542</v>
      </c>
      <c r="O668" s="4"/>
      <c r="P668" t="s">
        <v>636</v>
      </c>
      <c r="Q668">
        <v>11</v>
      </c>
    </row>
    <row r="669" spans="1:17" ht="14.25" customHeight="1" x14ac:dyDescent="0.25">
      <c r="A669" s="4"/>
      <c r="B669" s="21">
        <v>44217</v>
      </c>
      <c r="C669" s="5">
        <f t="shared" si="20"/>
        <v>4</v>
      </c>
      <c r="D669" s="5">
        <f t="shared" si="21"/>
        <v>5</v>
      </c>
      <c r="E669" s="1" t="s">
        <v>6</v>
      </c>
      <c r="F669" s="1" t="s">
        <v>11</v>
      </c>
      <c r="G669">
        <v>47781</v>
      </c>
      <c r="H669">
        <v>100688</v>
      </c>
      <c r="I669" s="4"/>
      <c r="J669" s="22">
        <v>0.42152777777777778</v>
      </c>
      <c r="K669" s="22">
        <v>0.76041666666666663</v>
      </c>
      <c r="L669" s="4"/>
      <c r="M669" s="4"/>
      <c r="N669" t="s">
        <v>1543</v>
      </c>
      <c r="O669" s="4"/>
      <c r="P669" t="s">
        <v>77</v>
      </c>
      <c r="Q669">
        <v>25</v>
      </c>
    </row>
    <row r="670" spans="1:17" ht="14.25" customHeight="1" x14ac:dyDescent="0.25">
      <c r="A670" s="4"/>
      <c r="B670" s="21">
        <v>44217</v>
      </c>
      <c r="C670" s="5">
        <f t="shared" si="20"/>
        <v>4</v>
      </c>
      <c r="D670" s="5">
        <f t="shared" si="21"/>
        <v>5</v>
      </c>
      <c r="E670" s="1" t="s">
        <v>7</v>
      </c>
      <c r="F670" s="1" t="s">
        <v>14</v>
      </c>
      <c r="G670">
        <v>47784</v>
      </c>
      <c r="H670">
        <v>100689</v>
      </c>
      <c r="I670" s="4"/>
      <c r="J670" s="22">
        <v>0.45347222222222222</v>
      </c>
      <c r="K670" s="22">
        <v>0.39583333333333331</v>
      </c>
      <c r="L670" s="4"/>
      <c r="M670" s="4"/>
      <c r="N670" t="s">
        <v>1544</v>
      </c>
      <c r="O670" s="4"/>
      <c r="P670" t="s">
        <v>637</v>
      </c>
      <c r="Q670">
        <v>5</v>
      </c>
    </row>
    <row r="671" spans="1:17" ht="14.25" customHeight="1" x14ac:dyDescent="0.25">
      <c r="A671" s="4"/>
      <c r="B671" s="21">
        <v>44217</v>
      </c>
      <c r="C671" s="5">
        <f t="shared" si="20"/>
        <v>4</v>
      </c>
      <c r="D671" s="5">
        <f t="shared" si="21"/>
        <v>5</v>
      </c>
      <c r="E671" s="1" t="s">
        <v>5</v>
      </c>
      <c r="F671" s="1" t="s">
        <v>18</v>
      </c>
      <c r="G671">
        <v>47785</v>
      </c>
      <c r="H671">
        <v>100689</v>
      </c>
      <c r="I671" s="4"/>
      <c r="J671" s="22">
        <v>0.42499999999999999</v>
      </c>
      <c r="K671" s="22">
        <v>0.42291666666666666</v>
      </c>
      <c r="L671" s="4"/>
      <c r="M671" s="4"/>
      <c r="N671" t="s">
        <v>1545</v>
      </c>
      <c r="O671" s="4"/>
      <c r="P671" t="s">
        <v>638</v>
      </c>
      <c r="Q671">
        <v>1</v>
      </c>
    </row>
    <row r="672" spans="1:17" ht="14.25" customHeight="1" x14ac:dyDescent="0.25">
      <c r="A672" s="4"/>
      <c r="B672" s="21">
        <v>44217</v>
      </c>
      <c r="C672" s="5">
        <f t="shared" si="20"/>
        <v>4</v>
      </c>
      <c r="D672" s="5">
        <f t="shared" si="21"/>
        <v>5</v>
      </c>
      <c r="E672" s="1" t="s">
        <v>5</v>
      </c>
      <c r="F672" s="1" t="s">
        <v>17</v>
      </c>
      <c r="G672">
        <v>47787</v>
      </c>
      <c r="H672">
        <v>100690</v>
      </c>
      <c r="I672" s="4"/>
      <c r="J672" s="22">
        <v>0.35416666666666669</v>
      </c>
      <c r="K672" s="22">
        <v>0.86319444444444438</v>
      </c>
      <c r="L672" s="4"/>
      <c r="M672" s="4"/>
      <c r="N672" t="s">
        <v>1546</v>
      </c>
      <c r="O672" s="4"/>
      <c r="P672" t="s">
        <v>639</v>
      </c>
      <c r="Q672">
        <v>24</v>
      </c>
    </row>
    <row r="673" spans="1:17" ht="14.25" customHeight="1" x14ac:dyDescent="0.25">
      <c r="A673" s="4"/>
      <c r="B673" s="21">
        <v>44217</v>
      </c>
      <c r="C673" s="5">
        <f t="shared" si="20"/>
        <v>4</v>
      </c>
      <c r="D673" s="5">
        <f t="shared" si="21"/>
        <v>5</v>
      </c>
      <c r="E673" s="1" t="s">
        <v>7</v>
      </c>
      <c r="F673" s="1" t="s">
        <v>15</v>
      </c>
      <c r="G673">
        <v>47788</v>
      </c>
      <c r="H673">
        <v>100690</v>
      </c>
      <c r="I673" s="4"/>
      <c r="J673" s="22">
        <v>0.48472222222222222</v>
      </c>
      <c r="K673" s="22">
        <v>0.87916666666666676</v>
      </c>
      <c r="L673" s="4"/>
      <c r="M673" s="4"/>
      <c r="N673" t="s">
        <v>1547</v>
      </c>
      <c r="O673" s="4"/>
      <c r="P673" t="s">
        <v>640</v>
      </c>
      <c r="Q673">
        <v>11</v>
      </c>
    </row>
    <row r="674" spans="1:17" ht="14.25" customHeight="1" x14ac:dyDescent="0.25">
      <c r="A674" s="4"/>
      <c r="B674" s="21">
        <v>44217</v>
      </c>
      <c r="C674" s="5">
        <f t="shared" si="20"/>
        <v>4</v>
      </c>
      <c r="D674" s="5">
        <f t="shared" si="21"/>
        <v>5</v>
      </c>
      <c r="E674" s="1" t="s">
        <v>5</v>
      </c>
      <c r="F674" s="1" t="s">
        <v>17</v>
      </c>
      <c r="G674">
        <v>47790</v>
      </c>
      <c r="H674">
        <v>100690</v>
      </c>
      <c r="I674" s="4"/>
      <c r="J674" s="22">
        <v>0.25277777777777777</v>
      </c>
      <c r="K674" s="22">
        <v>0.66249999999999998</v>
      </c>
      <c r="L674" s="4"/>
      <c r="M674" s="4"/>
      <c r="N674" t="s">
        <v>1548</v>
      </c>
      <c r="O674" s="4"/>
      <c r="P674" t="s">
        <v>641</v>
      </c>
      <c r="Q674">
        <v>17</v>
      </c>
    </row>
    <row r="675" spans="1:17" ht="14.25" customHeight="1" x14ac:dyDescent="0.25">
      <c r="A675" s="4"/>
      <c r="B675" s="21">
        <v>44217</v>
      </c>
      <c r="C675" s="5">
        <f t="shared" si="20"/>
        <v>4</v>
      </c>
      <c r="D675" s="5">
        <f t="shared" si="21"/>
        <v>5</v>
      </c>
      <c r="E675" s="1" t="s">
        <v>7</v>
      </c>
      <c r="F675" s="1" t="s">
        <v>15</v>
      </c>
      <c r="G675">
        <v>47790</v>
      </c>
      <c r="H675">
        <v>100691</v>
      </c>
      <c r="I675" s="4"/>
      <c r="J675" s="22">
        <v>0.25138888888888888</v>
      </c>
      <c r="K675" s="22">
        <v>0.79166666666666663</v>
      </c>
      <c r="L675" s="4"/>
      <c r="M675" s="4"/>
      <c r="N675" t="s">
        <v>1549</v>
      </c>
      <c r="O675" s="4"/>
      <c r="P675" t="s">
        <v>642</v>
      </c>
      <c r="Q675">
        <v>12</v>
      </c>
    </row>
    <row r="676" spans="1:17" ht="14.25" customHeight="1" x14ac:dyDescent="0.25">
      <c r="A676" s="4"/>
      <c r="B676" s="21">
        <v>44218</v>
      </c>
      <c r="C676" s="5">
        <f t="shared" si="20"/>
        <v>4</v>
      </c>
      <c r="D676" s="5">
        <f t="shared" si="21"/>
        <v>6</v>
      </c>
      <c r="E676" s="1" t="s">
        <v>7</v>
      </c>
      <c r="F676" s="1" t="s">
        <v>14</v>
      </c>
      <c r="G676">
        <v>47794</v>
      </c>
      <c r="H676">
        <v>100691</v>
      </c>
      <c r="I676" s="4"/>
      <c r="J676" s="22">
        <v>0.48125000000000001</v>
      </c>
      <c r="K676" s="22">
        <v>0.77986111111111101</v>
      </c>
      <c r="L676" s="4"/>
      <c r="M676" s="4"/>
      <c r="N676" t="s">
        <v>1550</v>
      </c>
      <c r="O676" s="4"/>
      <c r="P676" t="s">
        <v>395</v>
      </c>
      <c r="Q676">
        <v>15</v>
      </c>
    </row>
    <row r="677" spans="1:17" ht="14.25" customHeight="1" x14ac:dyDescent="0.25">
      <c r="A677" s="4"/>
      <c r="B677" s="21">
        <v>44218</v>
      </c>
      <c r="C677" s="5">
        <f t="shared" si="20"/>
        <v>4</v>
      </c>
      <c r="D677" s="5">
        <f t="shared" si="21"/>
        <v>6</v>
      </c>
      <c r="E677" s="1" t="s">
        <v>6</v>
      </c>
      <c r="F677" s="1" t="s">
        <v>11</v>
      </c>
      <c r="G677">
        <v>47795</v>
      </c>
      <c r="H677">
        <v>100691</v>
      </c>
      <c r="I677" s="4"/>
      <c r="J677" s="22">
        <v>0.32708333333333334</v>
      </c>
      <c r="K677" s="22">
        <v>0.27708333333333335</v>
      </c>
      <c r="L677" s="4"/>
      <c r="M677" s="4"/>
      <c r="N677" t="s">
        <v>1551</v>
      </c>
      <c r="O677" s="4"/>
      <c r="P677" t="s">
        <v>136</v>
      </c>
      <c r="Q677">
        <v>10</v>
      </c>
    </row>
    <row r="678" spans="1:17" ht="14.25" customHeight="1" x14ac:dyDescent="0.25">
      <c r="A678" s="4"/>
      <c r="B678" s="21">
        <v>44218</v>
      </c>
      <c r="C678" s="5">
        <f t="shared" si="20"/>
        <v>4</v>
      </c>
      <c r="D678" s="5">
        <f t="shared" si="21"/>
        <v>6</v>
      </c>
      <c r="E678" s="1" t="s">
        <v>7</v>
      </c>
      <c r="F678" s="1" t="s">
        <v>14</v>
      </c>
      <c r="G678">
        <v>47797</v>
      </c>
      <c r="H678">
        <v>100693</v>
      </c>
      <c r="I678" s="4"/>
      <c r="J678" s="22">
        <v>0.25</v>
      </c>
      <c r="K678" s="22">
        <v>0.44097222222222227</v>
      </c>
      <c r="L678" s="4"/>
      <c r="M678" s="4"/>
      <c r="N678" t="s">
        <v>1552</v>
      </c>
      <c r="O678" s="4"/>
      <c r="P678" t="s">
        <v>643</v>
      </c>
      <c r="Q678">
        <v>16</v>
      </c>
    </row>
    <row r="679" spans="1:17" ht="14.25" customHeight="1" x14ac:dyDescent="0.25">
      <c r="A679" s="4"/>
      <c r="B679" s="21">
        <v>44218</v>
      </c>
      <c r="C679" s="5">
        <f t="shared" si="20"/>
        <v>4</v>
      </c>
      <c r="D679" s="5">
        <f t="shared" si="21"/>
        <v>6</v>
      </c>
      <c r="E679" s="1" t="s">
        <v>6</v>
      </c>
      <c r="F679" s="1" t="s">
        <v>13</v>
      </c>
      <c r="G679">
        <v>47798</v>
      </c>
      <c r="H679">
        <v>100693</v>
      </c>
      <c r="I679" s="4"/>
      <c r="J679" s="22">
        <v>0.45555555555555555</v>
      </c>
      <c r="K679" s="22">
        <v>0.9770833333333333</v>
      </c>
      <c r="L679" s="4"/>
      <c r="M679" s="4"/>
      <c r="N679" t="s">
        <v>1553</v>
      </c>
      <c r="O679" s="4"/>
      <c r="P679" t="s">
        <v>102</v>
      </c>
      <c r="Q679">
        <v>17</v>
      </c>
    </row>
    <row r="680" spans="1:17" ht="14.25" customHeight="1" x14ac:dyDescent="0.25">
      <c r="A680" s="4"/>
      <c r="B680" s="21">
        <v>44218</v>
      </c>
      <c r="C680" s="5">
        <f t="shared" si="20"/>
        <v>4</v>
      </c>
      <c r="D680" s="5">
        <f t="shared" si="21"/>
        <v>6</v>
      </c>
      <c r="E680" s="1" t="s">
        <v>6</v>
      </c>
      <c r="F680" s="1" t="s">
        <v>11</v>
      </c>
      <c r="G680">
        <v>47799</v>
      </c>
      <c r="H680">
        <v>100699</v>
      </c>
      <c r="I680" s="4"/>
      <c r="J680" s="22">
        <v>0.48680555555555555</v>
      </c>
      <c r="K680" s="22">
        <v>0.15833333333333333</v>
      </c>
      <c r="L680" s="4"/>
      <c r="M680" s="4"/>
      <c r="N680" t="s">
        <v>1554</v>
      </c>
      <c r="O680" s="4"/>
      <c r="P680" t="s">
        <v>644</v>
      </c>
      <c r="Q680">
        <v>32</v>
      </c>
    </row>
    <row r="681" spans="1:17" ht="14.25" customHeight="1" x14ac:dyDescent="0.25">
      <c r="A681" s="4"/>
      <c r="B681" s="21">
        <v>44218</v>
      </c>
      <c r="C681" s="5">
        <f t="shared" si="20"/>
        <v>4</v>
      </c>
      <c r="D681" s="5">
        <f t="shared" si="21"/>
        <v>6</v>
      </c>
      <c r="E681" s="1" t="s">
        <v>6</v>
      </c>
      <c r="F681" s="1" t="s">
        <v>11</v>
      </c>
      <c r="G681">
        <v>47802</v>
      </c>
      <c r="H681">
        <v>100699</v>
      </c>
      <c r="I681" s="4"/>
      <c r="J681" s="22">
        <v>0.32083333333333336</v>
      </c>
      <c r="K681" s="22">
        <v>0.35069444444444442</v>
      </c>
      <c r="L681" s="4"/>
      <c r="M681" s="4"/>
      <c r="N681" t="s">
        <v>1555</v>
      </c>
      <c r="O681" s="4"/>
      <c r="P681" t="s">
        <v>645</v>
      </c>
      <c r="Q681">
        <v>17</v>
      </c>
    </row>
    <row r="682" spans="1:17" ht="14.25" customHeight="1" x14ac:dyDescent="0.25">
      <c r="A682" s="4"/>
      <c r="B682" s="21">
        <v>44218</v>
      </c>
      <c r="C682" s="5">
        <f t="shared" si="20"/>
        <v>4</v>
      </c>
      <c r="D682" s="5">
        <f t="shared" si="21"/>
        <v>6</v>
      </c>
      <c r="E682" s="1" t="s">
        <v>5</v>
      </c>
      <c r="F682" s="1" t="s">
        <v>18</v>
      </c>
      <c r="G682">
        <v>47803</v>
      </c>
      <c r="H682">
        <v>100699</v>
      </c>
      <c r="I682" s="4"/>
      <c r="J682" s="22">
        <v>0.28750000000000003</v>
      </c>
      <c r="K682" s="22">
        <v>0.12222222222222223</v>
      </c>
      <c r="L682" s="4"/>
      <c r="M682" s="4"/>
      <c r="N682" t="s">
        <v>1556</v>
      </c>
      <c r="O682" s="4"/>
      <c r="P682" t="s">
        <v>646</v>
      </c>
      <c r="Q682">
        <v>22</v>
      </c>
    </row>
    <row r="683" spans="1:17" ht="14.25" customHeight="1" x14ac:dyDescent="0.25">
      <c r="A683" s="4"/>
      <c r="B683" s="21">
        <v>44218</v>
      </c>
      <c r="C683" s="5">
        <f t="shared" si="20"/>
        <v>4</v>
      </c>
      <c r="D683" s="5">
        <f t="shared" si="21"/>
        <v>6</v>
      </c>
      <c r="E683" s="1" t="s">
        <v>7</v>
      </c>
      <c r="F683" s="1" t="s">
        <v>15</v>
      </c>
      <c r="G683">
        <v>47804</v>
      </c>
      <c r="H683">
        <v>100701</v>
      </c>
      <c r="I683" s="4"/>
      <c r="J683" s="22">
        <v>0.39374999999999999</v>
      </c>
      <c r="K683" s="22">
        <v>0.10694444444444444</v>
      </c>
      <c r="L683" s="4"/>
      <c r="M683" s="4"/>
      <c r="N683" t="s">
        <v>1557</v>
      </c>
      <c r="O683" s="4"/>
      <c r="P683" t="s">
        <v>434</v>
      </c>
      <c r="Q683">
        <v>29</v>
      </c>
    </row>
    <row r="684" spans="1:17" ht="14.25" customHeight="1" x14ac:dyDescent="0.25">
      <c r="A684" s="4"/>
      <c r="B684" s="21">
        <v>44218</v>
      </c>
      <c r="C684" s="5">
        <f t="shared" si="20"/>
        <v>4</v>
      </c>
      <c r="D684" s="5">
        <f t="shared" si="21"/>
        <v>6</v>
      </c>
      <c r="E684" s="1" t="s">
        <v>5</v>
      </c>
      <c r="F684" s="1" t="s">
        <v>18</v>
      </c>
      <c r="G684">
        <v>47805</v>
      </c>
      <c r="H684">
        <v>100702</v>
      </c>
      <c r="I684" s="4"/>
      <c r="J684" s="22">
        <v>0.25416666666666665</v>
      </c>
      <c r="K684" s="22">
        <v>0.7680555555555556</v>
      </c>
      <c r="L684" s="4"/>
      <c r="M684" s="4"/>
      <c r="N684" t="s">
        <v>1558</v>
      </c>
      <c r="O684" s="4"/>
      <c r="P684" t="s">
        <v>647</v>
      </c>
      <c r="Q684">
        <v>30</v>
      </c>
    </row>
    <row r="685" spans="1:17" ht="14.25" customHeight="1" x14ac:dyDescent="0.25">
      <c r="A685" s="4"/>
      <c r="B685" s="21">
        <v>44218</v>
      </c>
      <c r="C685" s="5">
        <f t="shared" si="20"/>
        <v>4</v>
      </c>
      <c r="D685" s="5">
        <f t="shared" si="21"/>
        <v>6</v>
      </c>
      <c r="E685" s="1" t="s">
        <v>5</v>
      </c>
      <c r="F685" s="1" t="s">
        <v>17</v>
      </c>
      <c r="G685">
        <v>47806</v>
      </c>
      <c r="H685">
        <v>100702</v>
      </c>
      <c r="I685" s="4"/>
      <c r="J685" s="22">
        <v>0.44722222222222219</v>
      </c>
      <c r="K685" s="22">
        <v>0.17430555555555557</v>
      </c>
      <c r="L685" s="4"/>
      <c r="M685" s="4"/>
      <c r="N685" t="s">
        <v>1559</v>
      </c>
      <c r="O685" s="4"/>
      <c r="P685" t="s">
        <v>648</v>
      </c>
      <c r="Q685">
        <v>21</v>
      </c>
    </row>
    <row r="686" spans="1:17" ht="14.25" customHeight="1" x14ac:dyDescent="0.25">
      <c r="A686" s="4"/>
      <c r="B686" s="21">
        <v>44218</v>
      </c>
      <c r="C686" s="5">
        <f t="shared" si="20"/>
        <v>4</v>
      </c>
      <c r="D686" s="5">
        <f t="shared" si="21"/>
        <v>6</v>
      </c>
      <c r="E686" s="1" t="s">
        <v>5</v>
      </c>
      <c r="F686" s="1" t="s">
        <v>17</v>
      </c>
      <c r="G686">
        <v>47807</v>
      </c>
      <c r="H686">
        <v>100702</v>
      </c>
      <c r="I686" s="4"/>
      <c r="J686" s="22">
        <v>0.4375</v>
      </c>
      <c r="K686" s="22">
        <v>0.3756944444444445</v>
      </c>
      <c r="L686" s="4"/>
      <c r="M686" s="4"/>
      <c r="N686" t="s">
        <v>1560</v>
      </c>
      <c r="O686" s="4"/>
      <c r="P686" t="s">
        <v>371</v>
      </c>
      <c r="Q686">
        <v>26</v>
      </c>
    </row>
    <row r="687" spans="1:17" ht="14.25" customHeight="1" x14ac:dyDescent="0.25">
      <c r="A687" s="4"/>
      <c r="B687" s="21">
        <v>44218</v>
      </c>
      <c r="C687" s="5">
        <f t="shared" si="20"/>
        <v>4</v>
      </c>
      <c r="D687" s="5">
        <f t="shared" si="21"/>
        <v>6</v>
      </c>
      <c r="E687" s="1" t="s">
        <v>7</v>
      </c>
      <c r="F687" s="1" t="s">
        <v>16</v>
      </c>
      <c r="G687">
        <v>47807</v>
      </c>
      <c r="H687">
        <v>100703</v>
      </c>
      <c r="I687" s="4"/>
      <c r="J687" s="22">
        <v>0.4152777777777778</v>
      </c>
      <c r="K687" s="22">
        <v>0.71597222222222223</v>
      </c>
      <c r="L687" s="4"/>
      <c r="M687" s="4"/>
      <c r="N687" t="s">
        <v>1561</v>
      </c>
      <c r="O687" s="4"/>
      <c r="P687" t="s">
        <v>649</v>
      </c>
      <c r="Q687">
        <v>16</v>
      </c>
    </row>
    <row r="688" spans="1:17" ht="14.25" customHeight="1" x14ac:dyDescent="0.25">
      <c r="A688" s="4"/>
      <c r="B688" s="21">
        <v>44218</v>
      </c>
      <c r="C688" s="5">
        <f t="shared" si="20"/>
        <v>4</v>
      </c>
      <c r="D688" s="5">
        <f t="shared" si="21"/>
        <v>6</v>
      </c>
      <c r="E688" s="1" t="s">
        <v>7</v>
      </c>
      <c r="F688" s="1" t="s">
        <v>14</v>
      </c>
      <c r="G688">
        <v>47808</v>
      </c>
      <c r="H688">
        <v>100703</v>
      </c>
      <c r="I688" s="4"/>
      <c r="J688" s="22">
        <v>0.44791666666666669</v>
      </c>
      <c r="K688" s="22">
        <v>0.98819444444444438</v>
      </c>
      <c r="L688" s="4"/>
      <c r="M688" s="4"/>
      <c r="N688" t="s">
        <v>1562</v>
      </c>
      <c r="O688" s="4"/>
      <c r="P688" t="s">
        <v>650</v>
      </c>
      <c r="Q688">
        <v>21</v>
      </c>
    </row>
    <row r="689" spans="1:17" ht="14.25" customHeight="1" x14ac:dyDescent="0.25">
      <c r="A689" s="4"/>
      <c r="B689" s="21">
        <v>44218</v>
      </c>
      <c r="C689" s="5">
        <f t="shared" si="20"/>
        <v>4</v>
      </c>
      <c r="D689" s="5">
        <f t="shared" si="21"/>
        <v>6</v>
      </c>
      <c r="E689" s="1" t="s">
        <v>6</v>
      </c>
      <c r="F689" s="1" t="s">
        <v>13</v>
      </c>
      <c r="G689">
        <v>47808</v>
      </c>
      <c r="H689">
        <v>100705</v>
      </c>
      <c r="I689" s="4"/>
      <c r="J689" s="22">
        <v>0.27361111111111108</v>
      </c>
      <c r="K689" s="22">
        <v>0.74513888888888891</v>
      </c>
      <c r="L689" s="4"/>
      <c r="M689" s="4"/>
      <c r="N689" t="s">
        <v>1563</v>
      </c>
      <c r="O689" s="4"/>
      <c r="P689" t="s">
        <v>651</v>
      </c>
      <c r="Q689">
        <v>23</v>
      </c>
    </row>
    <row r="690" spans="1:17" ht="14.25" customHeight="1" x14ac:dyDescent="0.25">
      <c r="A690" s="4"/>
      <c r="B690" s="21">
        <v>44218</v>
      </c>
      <c r="C690" s="5">
        <f t="shared" si="20"/>
        <v>4</v>
      </c>
      <c r="D690" s="5">
        <f t="shared" si="21"/>
        <v>6</v>
      </c>
      <c r="E690" s="1" t="s">
        <v>5</v>
      </c>
      <c r="F690" s="1" t="s">
        <v>17</v>
      </c>
      <c r="G690">
        <v>47809</v>
      </c>
      <c r="H690">
        <v>100705</v>
      </c>
      <c r="I690" s="4"/>
      <c r="J690" s="22">
        <v>0.31944444444444448</v>
      </c>
      <c r="K690" s="22">
        <v>0.92361111111111116</v>
      </c>
      <c r="L690" s="4"/>
      <c r="M690" s="4"/>
      <c r="N690" t="s">
        <v>1564</v>
      </c>
      <c r="O690" s="4"/>
      <c r="P690" t="s">
        <v>652</v>
      </c>
      <c r="Q690">
        <v>4</v>
      </c>
    </row>
    <row r="691" spans="1:17" ht="14.25" customHeight="1" x14ac:dyDescent="0.25">
      <c r="A691" s="4"/>
      <c r="B691" s="21">
        <v>44218</v>
      </c>
      <c r="C691" s="5">
        <f t="shared" si="20"/>
        <v>4</v>
      </c>
      <c r="D691" s="5">
        <f t="shared" si="21"/>
        <v>6</v>
      </c>
      <c r="E691" s="1" t="s">
        <v>7</v>
      </c>
      <c r="F691" s="1" t="s">
        <v>14</v>
      </c>
      <c r="G691">
        <v>47810</v>
      </c>
      <c r="H691">
        <v>100706</v>
      </c>
      <c r="I691" s="4"/>
      <c r="J691" s="22">
        <v>0.34513888888888888</v>
      </c>
      <c r="K691" s="22">
        <v>0.27638888888888885</v>
      </c>
      <c r="L691" s="4"/>
      <c r="M691" s="4"/>
      <c r="N691" t="s">
        <v>1565</v>
      </c>
      <c r="O691" s="4"/>
      <c r="P691" t="s">
        <v>653</v>
      </c>
      <c r="Q691">
        <v>26</v>
      </c>
    </row>
    <row r="692" spans="1:17" ht="14.25" customHeight="1" x14ac:dyDescent="0.25">
      <c r="A692" s="4"/>
      <c r="B692" s="21">
        <v>44218</v>
      </c>
      <c r="C692" s="5">
        <f t="shared" si="20"/>
        <v>4</v>
      </c>
      <c r="D692" s="5">
        <f t="shared" si="21"/>
        <v>6</v>
      </c>
      <c r="E692" s="1" t="s">
        <v>7</v>
      </c>
      <c r="F692" s="1" t="s">
        <v>15</v>
      </c>
      <c r="G692">
        <v>47810</v>
      </c>
      <c r="H692">
        <v>100709</v>
      </c>
      <c r="I692" s="4"/>
      <c r="J692" s="22">
        <v>0.49374999999999997</v>
      </c>
      <c r="K692" s="22">
        <v>0.24097222222222223</v>
      </c>
      <c r="L692" s="4"/>
      <c r="M692" s="4"/>
      <c r="N692" t="s">
        <v>1566</v>
      </c>
      <c r="O692" s="4"/>
      <c r="P692" t="s">
        <v>214</v>
      </c>
      <c r="Q692">
        <v>32</v>
      </c>
    </row>
    <row r="693" spans="1:17" ht="14.25" customHeight="1" x14ac:dyDescent="0.25">
      <c r="A693" s="4"/>
      <c r="B693" s="21">
        <v>44218</v>
      </c>
      <c r="C693" s="5">
        <f t="shared" si="20"/>
        <v>4</v>
      </c>
      <c r="D693" s="5">
        <f t="shared" si="21"/>
        <v>6</v>
      </c>
      <c r="E693" s="1" t="s">
        <v>6</v>
      </c>
      <c r="F693" s="1" t="s">
        <v>13</v>
      </c>
      <c r="G693">
        <v>47812</v>
      </c>
      <c r="H693">
        <v>100709</v>
      </c>
      <c r="I693" s="4"/>
      <c r="J693" s="22">
        <v>0.42499999999999999</v>
      </c>
      <c r="K693" s="22">
        <v>0.65347222222222223</v>
      </c>
      <c r="L693" s="4"/>
      <c r="M693" s="4"/>
      <c r="N693" t="s">
        <v>1567</v>
      </c>
      <c r="O693" s="4"/>
      <c r="P693" t="s">
        <v>533</v>
      </c>
      <c r="Q693">
        <v>7</v>
      </c>
    </row>
    <row r="694" spans="1:17" ht="14.25" customHeight="1" x14ac:dyDescent="0.25">
      <c r="A694" s="4"/>
      <c r="B694" s="21">
        <v>44218</v>
      </c>
      <c r="C694" s="5">
        <f t="shared" si="20"/>
        <v>4</v>
      </c>
      <c r="D694" s="5">
        <f t="shared" si="21"/>
        <v>6</v>
      </c>
      <c r="E694" s="1" t="s">
        <v>7</v>
      </c>
      <c r="F694" s="1" t="s">
        <v>15</v>
      </c>
      <c r="G694">
        <v>47813</v>
      </c>
      <c r="H694">
        <v>100711</v>
      </c>
      <c r="I694" s="4"/>
      <c r="J694" s="22">
        <v>0.44375000000000003</v>
      </c>
      <c r="K694" s="22">
        <v>0.20416666666666669</v>
      </c>
      <c r="L694" s="4"/>
      <c r="M694" s="4"/>
      <c r="N694" t="s">
        <v>1568</v>
      </c>
      <c r="O694" s="4"/>
      <c r="P694" t="s">
        <v>68</v>
      </c>
      <c r="Q694">
        <v>19</v>
      </c>
    </row>
    <row r="695" spans="1:17" ht="14.25" customHeight="1" x14ac:dyDescent="0.25">
      <c r="A695" s="4"/>
      <c r="B695" s="21">
        <v>44218</v>
      </c>
      <c r="C695" s="5">
        <f t="shared" si="20"/>
        <v>4</v>
      </c>
      <c r="D695" s="5">
        <f t="shared" si="21"/>
        <v>6</v>
      </c>
      <c r="E695" s="1" t="s">
        <v>6</v>
      </c>
      <c r="F695" s="1" t="s">
        <v>13</v>
      </c>
      <c r="G695">
        <v>47813</v>
      </c>
      <c r="H695">
        <v>100711</v>
      </c>
      <c r="I695" s="4"/>
      <c r="J695" s="22">
        <v>0.26874999999999999</v>
      </c>
      <c r="K695" s="22">
        <v>0.86249999999999993</v>
      </c>
      <c r="L695" s="4"/>
      <c r="M695" s="4"/>
      <c r="N695" t="s">
        <v>1569</v>
      </c>
      <c r="O695" s="4"/>
      <c r="P695" t="s">
        <v>654</v>
      </c>
      <c r="Q695">
        <v>21</v>
      </c>
    </row>
    <row r="696" spans="1:17" ht="14.25" customHeight="1" x14ac:dyDescent="0.25">
      <c r="A696" s="4"/>
      <c r="B696" s="21">
        <v>44218</v>
      </c>
      <c r="C696" s="5">
        <f t="shared" si="20"/>
        <v>4</v>
      </c>
      <c r="D696" s="5">
        <f t="shared" si="21"/>
        <v>6</v>
      </c>
      <c r="E696" s="1" t="s">
        <v>7</v>
      </c>
      <c r="F696" s="1" t="s">
        <v>15</v>
      </c>
      <c r="G696">
        <v>47814</v>
      </c>
      <c r="H696">
        <v>100711</v>
      </c>
      <c r="I696" s="4"/>
      <c r="J696" s="22">
        <v>0.35555555555555557</v>
      </c>
      <c r="K696" s="22">
        <v>0.9868055555555556</v>
      </c>
      <c r="L696" s="4"/>
      <c r="M696" s="4"/>
      <c r="N696" t="s">
        <v>1570</v>
      </c>
      <c r="O696" s="4"/>
      <c r="P696" t="s">
        <v>654</v>
      </c>
      <c r="Q696">
        <v>16</v>
      </c>
    </row>
    <row r="697" spans="1:17" ht="14.25" customHeight="1" x14ac:dyDescent="0.25">
      <c r="A697" s="4"/>
      <c r="B697" s="21">
        <v>44218</v>
      </c>
      <c r="C697" s="5">
        <f t="shared" si="20"/>
        <v>4</v>
      </c>
      <c r="D697" s="5">
        <f t="shared" si="21"/>
        <v>6</v>
      </c>
      <c r="E697" s="1" t="s">
        <v>6</v>
      </c>
      <c r="F697" s="1" t="s">
        <v>12</v>
      </c>
      <c r="G697">
        <v>47815</v>
      </c>
      <c r="H697">
        <v>100711</v>
      </c>
      <c r="I697" s="4"/>
      <c r="J697" s="22">
        <v>0.4916666666666667</v>
      </c>
      <c r="K697" s="22">
        <v>0.5805555555555556</v>
      </c>
      <c r="L697" s="4"/>
      <c r="M697" s="4"/>
      <c r="N697" t="s">
        <v>1571</v>
      </c>
      <c r="O697" s="4"/>
      <c r="P697" t="s">
        <v>655</v>
      </c>
      <c r="Q697">
        <v>27</v>
      </c>
    </row>
    <row r="698" spans="1:17" ht="14.25" customHeight="1" x14ac:dyDescent="0.25">
      <c r="A698" s="4"/>
      <c r="B698" s="21">
        <v>44218</v>
      </c>
      <c r="C698" s="5">
        <f t="shared" si="20"/>
        <v>4</v>
      </c>
      <c r="D698" s="5">
        <f t="shared" si="21"/>
        <v>6</v>
      </c>
      <c r="E698" s="1" t="s">
        <v>6</v>
      </c>
      <c r="F698" s="1" t="s">
        <v>12</v>
      </c>
      <c r="G698">
        <v>47817</v>
      </c>
      <c r="H698">
        <v>100711</v>
      </c>
      <c r="I698" s="4"/>
      <c r="J698" s="22">
        <v>0.2673611111111111</v>
      </c>
      <c r="K698" s="22">
        <v>0.9916666666666667</v>
      </c>
      <c r="L698" s="4"/>
      <c r="M698" s="4"/>
      <c r="N698" t="s">
        <v>1572</v>
      </c>
      <c r="O698" s="4"/>
      <c r="P698" t="s">
        <v>656</v>
      </c>
      <c r="Q698">
        <v>21</v>
      </c>
    </row>
    <row r="699" spans="1:17" ht="14.25" customHeight="1" x14ac:dyDescent="0.25">
      <c r="A699" s="4"/>
      <c r="B699" s="21">
        <v>44218</v>
      </c>
      <c r="C699" s="5">
        <f t="shared" si="20"/>
        <v>4</v>
      </c>
      <c r="D699" s="5">
        <f t="shared" si="21"/>
        <v>6</v>
      </c>
      <c r="E699" s="1" t="s">
        <v>6</v>
      </c>
      <c r="F699" s="1" t="s">
        <v>12</v>
      </c>
      <c r="G699">
        <v>47818</v>
      </c>
      <c r="H699">
        <v>100714</v>
      </c>
      <c r="I699" s="4"/>
      <c r="J699" s="22">
        <v>0.43055555555555558</v>
      </c>
      <c r="K699" s="22">
        <v>4.5833333333333337E-2</v>
      </c>
      <c r="L699" s="4"/>
      <c r="M699" s="4"/>
      <c r="N699" t="s">
        <v>1573</v>
      </c>
      <c r="O699" s="4"/>
      <c r="P699" t="s">
        <v>657</v>
      </c>
      <c r="Q699">
        <v>7</v>
      </c>
    </row>
    <row r="700" spans="1:17" ht="14.25" customHeight="1" x14ac:dyDescent="0.25">
      <c r="A700" s="4"/>
      <c r="B700" s="21">
        <v>44218</v>
      </c>
      <c r="C700" s="5">
        <f t="shared" si="20"/>
        <v>4</v>
      </c>
      <c r="D700" s="5">
        <f t="shared" si="21"/>
        <v>6</v>
      </c>
      <c r="E700" s="1" t="s">
        <v>6</v>
      </c>
      <c r="F700" s="1" t="s">
        <v>12</v>
      </c>
      <c r="G700">
        <v>47819</v>
      </c>
      <c r="H700">
        <v>100715</v>
      </c>
      <c r="I700" s="4"/>
      <c r="J700" s="22">
        <v>0.25347222222222221</v>
      </c>
      <c r="K700" s="22">
        <v>0.14305555555555557</v>
      </c>
      <c r="L700" s="4"/>
      <c r="M700" s="4"/>
      <c r="N700" t="s">
        <v>1574</v>
      </c>
      <c r="O700" s="4"/>
      <c r="P700" t="s">
        <v>658</v>
      </c>
      <c r="Q700">
        <v>30</v>
      </c>
    </row>
    <row r="701" spans="1:17" ht="14.25" customHeight="1" x14ac:dyDescent="0.25">
      <c r="A701" s="4"/>
      <c r="B701" s="21">
        <v>44218</v>
      </c>
      <c r="C701" s="5">
        <f t="shared" si="20"/>
        <v>4</v>
      </c>
      <c r="D701" s="5">
        <f t="shared" si="21"/>
        <v>6</v>
      </c>
      <c r="E701" s="1" t="s">
        <v>6</v>
      </c>
      <c r="F701" s="1" t="s">
        <v>11</v>
      </c>
      <c r="G701">
        <v>47819</v>
      </c>
      <c r="H701">
        <v>100716</v>
      </c>
      <c r="I701" s="4"/>
      <c r="J701" s="22">
        <v>0.27847222222222223</v>
      </c>
      <c r="K701" s="22">
        <v>0.23055555555555554</v>
      </c>
      <c r="L701" s="4"/>
      <c r="M701" s="4"/>
      <c r="N701" t="s">
        <v>1575</v>
      </c>
      <c r="O701" s="4"/>
      <c r="P701" t="s">
        <v>193</v>
      </c>
      <c r="Q701">
        <v>4</v>
      </c>
    </row>
    <row r="702" spans="1:17" ht="14.25" customHeight="1" x14ac:dyDescent="0.25">
      <c r="A702" s="4"/>
      <c r="B702" s="21">
        <v>44218</v>
      </c>
      <c r="C702" s="5">
        <f t="shared" si="20"/>
        <v>4</v>
      </c>
      <c r="D702" s="5">
        <f t="shared" si="21"/>
        <v>6</v>
      </c>
      <c r="E702" s="1" t="s">
        <v>5</v>
      </c>
      <c r="F702" s="1" t="s">
        <v>18</v>
      </c>
      <c r="G702">
        <v>47819</v>
      </c>
      <c r="H702">
        <v>100717</v>
      </c>
      <c r="I702" s="4"/>
      <c r="J702" s="22">
        <v>0.30833333333333335</v>
      </c>
      <c r="K702" s="22">
        <v>0.86805555555555547</v>
      </c>
      <c r="L702" s="4"/>
      <c r="M702" s="4"/>
      <c r="N702" t="s">
        <v>1576</v>
      </c>
      <c r="O702" s="4"/>
      <c r="P702" t="s">
        <v>587</v>
      </c>
      <c r="Q702">
        <v>4</v>
      </c>
    </row>
    <row r="703" spans="1:17" ht="14.25" customHeight="1" x14ac:dyDescent="0.25">
      <c r="A703" s="4"/>
      <c r="B703" s="21">
        <v>44218</v>
      </c>
      <c r="C703" s="5">
        <f t="shared" si="20"/>
        <v>4</v>
      </c>
      <c r="D703" s="5">
        <f t="shared" si="21"/>
        <v>6</v>
      </c>
      <c r="E703" s="1" t="s">
        <v>5</v>
      </c>
      <c r="F703" s="1" t="s">
        <v>19</v>
      </c>
      <c r="G703">
        <v>47821</v>
      </c>
      <c r="H703">
        <v>100717</v>
      </c>
      <c r="I703" s="4"/>
      <c r="J703" s="22">
        <v>0.4145833333333333</v>
      </c>
      <c r="K703" s="22">
        <v>0.92152777777777783</v>
      </c>
      <c r="L703" s="4"/>
      <c r="M703" s="4"/>
      <c r="N703" t="s">
        <v>1577</v>
      </c>
      <c r="O703" s="4"/>
      <c r="P703" t="s">
        <v>659</v>
      </c>
      <c r="Q703">
        <v>32</v>
      </c>
    </row>
    <row r="704" spans="1:17" ht="14.25" customHeight="1" x14ac:dyDescent="0.25">
      <c r="A704" s="4"/>
      <c r="B704" s="21">
        <v>44218</v>
      </c>
      <c r="C704" s="5">
        <f t="shared" si="20"/>
        <v>4</v>
      </c>
      <c r="D704" s="5">
        <f t="shared" si="21"/>
        <v>6</v>
      </c>
      <c r="E704" s="1" t="s">
        <v>6</v>
      </c>
      <c r="F704" s="1" t="s">
        <v>13</v>
      </c>
      <c r="G704">
        <v>47822</v>
      </c>
      <c r="H704">
        <v>100722</v>
      </c>
      <c r="I704" s="4"/>
      <c r="J704" s="22">
        <v>0.47013888888888888</v>
      </c>
      <c r="K704" s="22">
        <v>0.3743055555555555</v>
      </c>
      <c r="L704" s="4"/>
      <c r="M704" s="4"/>
      <c r="N704" t="s">
        <v>1578</v>
      </c>
      <c r="O704" s="4"/>
      <c r="P704" t="s">
        <v>660</v>
      </c>
      <c r="Q704">
        <v>33</v>
      </c>
    </row>
    <row r="705" spans="1:17" ht="14.25" customHeight="1" x14ac:dyDescent="0.25">
      <c r="A705" s="4"/>
      <c r="B705" s="21">
        <v>44218</v>
      </c>
      <c r="C705" s="5">
        <f t="shared" si="20"/>
        <v>4</v>
      </c>
      <c r="D705" s="5">
        <f t="shared" si="21"/>
        <v>6</v>
      </c>
      <c r="E705" s="1" t="s">
        <v>6</v>
      </c>
      <c r="F705" s="1" t="s">
        <v>12</v>
      </c>
      <c r="G705">
        <v>47825</v>
      </c>
      <c r="H705">
        <v>100722</v>
      </c>
      <c r="I705" s="4"/>
      <c r="J705" s="22">
        <v>0.26944444444444443</v>
      </c>
      <c r="K705" s="22">
        <v>0.35069444444444442</v>
      </c>
      <c r="L705" s="4"/>
      <c r="M705" s="4"/>
      <c r="N705" t="s">
        <v>1579</v>
      </c>
      <c r="O705" s="4"/>
      <c r="P705" t="s">
        <v>661</v>
      </c>
      <c r="Q705">
        <v>25</v>
      </c>
    </row>
    <row r="706" spans="1:17" ht="14.25" customHeight="1" x14ac:dyDescent="0.25">
      <c r="A706" s="4"/>
      <c r="B706" s="21">
        <v>44218</v>
      </c>
      <c r="C706" s="5">
        <f t="shared" si="20"/>
        <v>4</v>
      </c>
      <c r="D706" s="5">
        <f t="shared" si="21"/>
        <v>6</v>
      </c>
      <c r="E706" s="1" t="s">
        <v>6</v>
      </c>
      <c r="F706" s="1" t="s">
        <v>11</v>
      </c>
      <c r="G706">
        <v>47826</v>
      </c>
      <c r="H706">
        <v>100725</v>
      </c>
      <c r="I706" s="4"/>
      <c r="J706" s="22">
        <v>0.47847222222222219</v>
      </c>
      <c r="K706" s="22">
        <v>0.30833333333333335</v>
      </c>
      <c r="L706" s="4"/>
      <c r="M706" s="4"/>
      <c r="N706" t="s">
        <v>1580</v>
      </c>
      <c r="O706" s="4"/>
      <c r="P706" t="s">
        <v>662</v>
      </c>
      <c r="Q706">
        <v>1</v>
      </c>
    </row>
    <row r="707" spans="1:17" ht="14.25" customHeight="1" x14ac:dyDescent="0.25">
      <c r="A707" s="4"/>
      <c r="B707" s="21">
        <v>44218</v>
      </c>
      <c r="C707" s="5">
        <f t="shared" ref="C707:C770" si="22">WEEKNUM(B707)</f>
        <v>4</v>
      </c>
      <c r="D707" s="5">
        <f t="shared" ref="D707:D770" si="23">WEEKDAY(B707)</f>
        <v>6</v>
      </c>
      <c r="E707" s="1" t="s">
        <v>6</v>
      </c>
      <c r="F707" s="1" t="s">
        <v>13</v>
      </c>
      <c r="G707">
        <v>47827</v>
      </c>
      <c r="H707">
        <v>100725</v>
      </c>
      <c r="I707" s="4"/>
      <c r="J707" s="22">
        <v>0.30277777777777776</v>
      </c>
      <c r="K707" s="22">
        <v>0.92847222222222225</v>
      </c>
      <c r="L707" s="4"/>
      <c r="M707" s="4"/>
      <c r="N707" t="s">
        <v>1581</v>
      </c>
      <c r="O707" s="4"/>
      <c r="P707" t="s">
        <v>663</v>
      </c>
      <c r="Q707">
        <v>10</v>
      </c>
    </row>
    <row r="708" spans="1:17" ht="14.25" customHeight="1" x14ac:dyDescent="0.25">
      <c r="A708" s="4"/>
      <c r="B708" s="21">
        <v>44218</v>
      </c>
      <c r="C708" s="5">
        <f t="shared" si="22"/>
        <v>4</v>
      </c>
      <c r="D708" s="5">
        <f t="shared" si="23"/>
        <v>6</v>
      </c>
      <c r="E708" s="1" t="s">
        <v>7</v>
      </c>
      <c r="F708" s="1" t="s">
        <v>16</v>
      </c>
      <c r="G708">
        <v>47827</v>
      </c>
      <c r="H708">
        <v>100727</v>
      </c>
      <c r="I708" s="4"/>
      <c r="J708" s="22">
        <v>0.37847222222222227</v>
      </c>
      <c r="K708" s="22">
        <v>0.43194444444444446</v>
      </c>
      <c r="L708" s="4"/>
      <c r="M708" s="4"/>
      <c r="N708" t="s">
        <v>1582</v>
      </c>
      <c r="O708" s="4"/>
      <c r="P708" t="s">
        <v>664</v>
      </c>
      <c r="Q708">
        <v>28</v>
      </c>
    </row>
    <row r="709" spans="1:17" ht="14.25" customHeight="1" x14ac:dyDescent="0.25">
      <c r="A709" s="4"/>
      <c r="B709" s="21">
        <v>44219</v>
      </c>
      <c r="C709" s="5">
        <f t="shared" si="22"/>
        <v>4</v>
      </c>
      <c r="D709" s="5">
        <f t="shared" si="23"/>
        <v>7</v>
      </c>
      <c r="E709" s="1" t="s">
        <v>7</v>
      </c>
      <c r="F709" s="1" t="s">
        <v>14</v>
      </c>
      <c r="G709">
        <v>47827</v>
      </c>
      <c r="H709">
        <v>100727</v>
      </c>
      <c r="I709" s="4"/>
      <c r="J709" s="22">
        <v>0.37777777777777777</v>
      </c>
      <c r="K709" s="22">
        <v>5.6250000000000001E-2</v>
      </c>
      <c r="L709" s="4"/>
      <c r="M709" s="4"/>
      <c r="N709" t="s">
        <v>1583</v>
      </c>
      <c r="O709" s="4"/>
      <c r="P709" t="s">
        <v>665</v>
      </c>
      <c r="Q709">
        <v>23</v>
      </c>
    </row>
    <row r="710" spans="1:17" ht="14.25" customHeight="1" x14ac:dyDescent="0.25">
      <c r="A710" s="4"/>
      <c r="B710" s="21">
        <v>44219</v>
      </c>
      <c r="C710" s="5">
        <f t="shared" si="22"/>
        <v>4</v>
      </c>
      <c r="D710" s="5">
        <f t="shared" si="23"/>
        <v>7</v>
      </c>
      <c r="E710" s="1" t="s">
        <v>7</v>
      </c>
      <c r="F710" s="1" t="s">
        <v>15</v>
      </c>
      <c r="G710">
        <v>47828</v>
      </c>
      <c r="H710">
        <v>100732</v>
      </c>
      <c r="I710" s="4"/>
      <c r="J710" s="22">
        <v>0.36527777777777781</v>
      </c>
      <c r="K710" s="22">
        <v>0.50694444444444442</v>
      </c>
      <c r="L710" s="4"/>
      <c r="M710" s="4"/>
      <c r="N710" t="s">
        <v>1584</v>
      </c>
      <c r="O710" s="4"/>
      <c r="P710" t="s">
        <v>666</v>
      </c>
      <c r="Q710">
        <v>13</v>
      </c>
    </row>
    <row r="711" spans="1:17" ht="14.25" customHeight="1" x14ac:dyDescent="0.25">
      <c r="A711" s="4"/>
      <c r="B711" s="21">
        <v>44219</v>
      </c>
      <c r="C711" s="5">
        <f t="shared" si="22"/>
        <v>4</v>
      </c>
      <c r="D711" s="5">
        <f t="shared" si="23"/>
        <v>7</v>
      </c>
      <c r="E711" s="1" t="s">
        <v>6</v>
      </c>
      <c r="F711" s="1" t="s">
        <v>12</v>
      </c>
      <c r="G711">
        <v>47829</v>
      </c>
      <c r="H711">
        <v>100733</v>
      </c>
      <c r="I711" s="4"/>
      <c r="J711" s="22">
        <v>0.37152777777777773</v>
      </c>
      <c r="K711" s="22">
        <v>0.88958333333333339</v>
      </c>
      <c r="L711" s="4"/>
      <c r="M711" s="4"/>
      <c r="N711" t="s">
        <v>1585</v>
      </c>
      <c r="O711" s="4"/>
      <c r="P711" t="s">
        <v>667</v>
      </c>
      <c r="Q711">
        <v>7</v>
      </c>
    </row>
    <row r="712" spans="1:17" ht="14.25" customHeight="1" x14ac:dyDescent="0.25">
      <c r="A712" s="4"/>
      <c r="B712" s="21">
        <v>44219</v>
      </c>
      <c r="C712" s="5">
        <f t="shared" si="22"/>
        <v>4</v>
      </c>
      <c r="D712" s="5">
        <f t="shared" si="23"/>
        <v>7</v>
      </c>
      <c r="E712" s="1" t="s">
        <v>7</v>
      </c>
      <c r="F712" s="1" t="s">
        <v>14</v>
      </c>
      <c r="G712">
        <v>47829</v>
      </c>
      <c r="H712">
        <v>100733</v>
      </c>
      <c r="I712" s="4"/>
      <c r="J712" s="22">
        <v>0.29652777777777778</v>
      </c>
      <c r="K712" s="22">
        <v>0.9555555555555556</v>
      </c>
      <c r="L712" s="4"/>
      <c r="M712" s="4"/>
      <c r="N712" t="s">
        <v>1586</v>
      </c>
      <c r="O712" s="4"/>
      <c r="P712" t="s">
        <v>668</v>
      </c>
      <c r="Q712">
        <v>4</v>
      </c>
    </row>
    <row r="713" spans="1:17" ht="14.25" customHeight="1" x14ac:dyDescent="0.25">
      <c r="A713" s="4"/>
      <c r="B713" s="21">
        <v>44219</v>
      </c>
      <c r="C713" s="5">
        <f t="shared" si="22"/>
        <v>4</v>
      </c>
      <c r="D713" s="5">
        <f t="shared" si="23"/>
        <v>7</v>
      </c>
      <c r="E713" s="1" t="s">
        <v>7</v>
      </c>
      <c r="F713" s="1" t="s">
        <v>16</v>
      </c>
      <c r="G713">
        <v>47831</v>
      </c>
      <c r="H713">
        <v>100733</v>
      </c>
      <c r="I713" s="4"/>
      <c r="J713" s="22">
        <v>0.49027777777777781</v>
      </c>
      <c r="K713" s="22">
        <v>0.25833333333333336</v>
      </c>
      <c r="L713" s="4"/>
      <c r="M713" s="4"/>
      <c r="N713" t="s">
        <v>1587</v>
      </c>
      <c r="O713" s="4"/>
      <c r="P713" t="s">
        <v>669</v>
      </c>
      <c r="Q713">
        <v>11</v>
      </c>
    </row>
    <row r="714" spans="1:17" ht="14.25" customHeight="1" x14ac:dyDescent="0.25">
      <c r="A714" s="4"/>
      <c r="B714" s="21">
        <v>44219</v>
      </c>
      <c r="C714" s="5">
        <f t="shared" si="22"/>
        <v>4</v>
      </c>
      <c r="D714" s="5">
        <f t="shared" si="23"/>
        <v>7</v>
      </c>
      <c r="E714" s="1" t="s">
        <v>6</v>
      </c>
      <c r="F714" s="1" t="s">
        <v>11</v>
      </c>
      <c r="G714">
        <v>47832</v>
      </c>
      <c r="H714">
        <v>100734</v>
      </c>
      <c r="I714" s="4"/>
      <c r="J714" s="22">
        <v>0.32916666666666666</v>
      </c>
      <c r="K714" s="22">
        <v>0.34583333333333338</v>
      </c>
      <c r="L714" s="4"/>
      <c r="M714" s="4"/>
      <c r="N714" t="s">
        <v>1588</v>
      </c>
      <c r="O714" s="4"/>
      <c r="P714" t="s">
        <v>670</v>
      </c>
      <c r="Q714">
        <v>19</v>
      </c>
    </row>
    <row r="715" spans="1:17" ht="14.25" customHeight="1" x14ac:dyDescent="0.25">
      <c r="A715" s="4"/>
      <c r="B715" s="21">
        <v>44219</v>
      </c>
      <c r="C715" s="5">
        <f t="shared" si="22"/>
        <v>4</v>
      </c>
      <c r="D715" s="5">
        <f t="shared" si="23"/>
        <v>7</v>
      </c>
      <c r="E715" s="1" t="s">
        <v>6</v>
      </c>
      <c r="F715" s="1" t="s">
        <v>13</v>
      </c>
      <c r="G715">
        <v>47832</v>
      </c>
      <c r="H715">
        <v>100734</v>
      </c>
      <c r="I715" s="4"/>
      <c r="J715" s="22">
        <v>0.45833333333333331</v>
      </c>
      <c r="K715" s="22">
        <v>0.71597222222222223</v>
      </c>
      <c r="L715" s="4"/>
      <c r="M715" s="4"/>
      <c r="N715" t="s">
        <v>1589</v>
      </c>
      <c r="O715" s="4"/>
      <c r="P715" t="s">
        <v>671</v>
      </c>
      <c r="Q715">
        <v>21</v>
      </c>
    </row>
    <row r="716" spans="1:17" ht="14.25" customHeight="1" x14ac:dyDescent="0.25">
      <c r="A716" s="4"/>
      <c r="B716" s="21">
        <v>44219</v>
      </c>
      <c r="C716" s="5">
        <f t="shared" si="22"/>
        <v>4</v>
      </c>
      <c r="D716" s="5">
        <f t="shared" si="23"/>
        <v>7</v>
      </c>
      <c r="E716" s="1" t="s">
        <v>5</v>
      </c>
      <c r="F716" s="1" t="s">
        <v>20</v>
      </c>
      <c r="G716">
        <v>47834</v>
      </c>
      <c r="H716">
        <v>100735</v>
      </c>
      <c r="I716" s="4"/>
      <c r="J716" s="22">
        <v>0.4069444444444445</v>
      </c>
      <c r="K716" s="22">
        <v>0.10972222222222222</v>
      </c>
      <c r="L716" s="4"/>
      <c r="M716" s="4"/>
      <c r="N716" t="s">
        <v>1590</v>
      </c>
      <c r="O716" s="4"/>
      <c r="P716" t="s">
        <v>672</v>
      </c>
      <c r="Q716">
        <v>32</v>
      </c>
    </row>
    <row r="717" spans="1:17" ht="14.25" customHeight="1" x14ac:dyDescent="0.25">
      <c r="A717" s="4"/>
      <c r="B717" s="21">
        <v>44219</v>
      </c>
      <c r="C717" s="5">
        <f t="shared" si="22"/>
        <v>4</v>
      </c>
      <c r="D717" s="5">
        <f t="shared" si="23"/>
        <v>7</v>
      </c>
      <c r="E717" s="1" t="s">
        <v>6</v>
      </c>
      <c r="F717" s="1" t="s">
        <v>13</v>
      </c>
      <c r="G717">
        <v>47834</v>
      </c>
      <c r="H717">
        <v>100735</v>
      </c>
      <c r="I717" s="4"/>
      <c r="J717" s="22">
        <v>0.33333333333333331</v>
      </c>
      <c r="K717" s="22">
        <v>0.64513888888888882</v>
      </c>
      <c r="L717" s="4"/>
      <c r="M717" s="4"/>
      <c r="N717" t="s">
        <v>1591</v>
      </c>
      <c r="O717" s="4"/>
      <c r="P717" t="s">
        <v>673</v>
      </c>
      <c r="Q717">
        <v>3</v>
      </c>
    </row>
    <row r="718" spans="1:17" ht="14.25" customHeight="1" x14ac:dyDescent="0.25">
      <c r="A718" s="4"/>
      <c r="B718" s="21">
        <v>44219</v>
      </c>
      <c r="C718" s="5">
        <f t="shared" si="22"/>
        <v>4</v>
      </c>
      <c r="D718" s="5">
        <f t="shared" si="23"/>
        <v>7</v>
      </c>
      <c r="E718" s="1" t="s">
        <v>7</v>
      </c>
      <c r="F718" s="1" t="s">
        <v>16</v>
      </c>
      <c r="G718">
        <v>47835</v>
      </c>
      <c r="H718">
        <v>100735</v>
      </c>
      <c r="I718" s="4"/>
      <c r="J718" s="22">
        <v>0.44513888888888892</v>
      </c>
      <c r="K718" s="22">
        <v>0.4597222222222222</v>
      </c>
      <c r="L718" s="4"/>
      <c r="M718" s="4"/>
      <c r="N718" t="s">
        <v>1592</v>
      </c>
      <c r="O718" s="4"/>
      <c r="P718" t="s">
        <v>674</v>
      </c>
      <c r="Q718">
        <v>10</v>
      </c>
    </row>
    <row r="719" spans="1:17" ht="14.25" customHeight="1" x14ac:dyDescent="0.25">
      <c r="A719" s="4"/>
      <c r="B719" s="21">
        <v>44219</v>
      </c>
      <c r="C719" s="5">
        <f t="shared" si="22"/>
        <v>4</v>
      </c>
      <c r="D719" s="5">
        <f t="shared" si="23"/>
        <v>7</v>
      </c>
      <c r="E719" s="1" t="s">
        <v>5</v>
      </c>
      <c r="F719" s="1" t="s">
        <v>19</v>
      </c>
      <c r="G719">
        <v>47836</v>
      </c>
      <c r="H719">
        <v>100737</v>
      </c>
      <c r="I719" s="4"/>
      <c r="J719" s="22">
        <v>0.27291666666666664</v>
      </c>
      <c r="K719" s="22">
        <v>0.50902777777777775</v>
      </c>
      <c r="L719" s="4"/>
      <c r="M719" s="4"/>
      <c r="N719" t="s">
        <v>1593</v>
      </c>
      <c r="O719" s="4"/>
      <c r="P719" t="s">
        <v>675</v>
      </c>
      <c r="Q719">
        <v>28</v>
      </c>
    </row>
    <row r="720" spans="1:17" ht="14.25" customHeight="1" x14ac:dyDescent="0.25">
      <c r="A720" s="4"/>
      <c r="B720" s="21">
        <v>44219</v>
      </c>
      <c r="C720" s="5">
        <f t="shared" si="22"/>
        <v>4</v>
      </c>
      <c r="D720" s="5">
        <f t="shared" si="23"/>
        <v>7</v>
      </c>
      <c r="E720" s="1" t="s">
        <v>6</v>
      </c>
      <c r="F720" s="1" t="s">
        <v>11</v>
      </c>
      <c r="G720">
        <v>47836</v>
      </c>
      <c r="H720">
        <v>100737</v>
      </c>
      <c r="I720" s="4"/>
      <c r="J720" s="22">
        <v>0.41041666666666665</v>
      </c>
      <c r="K720" s="22">
        <v>0.50416666666666665</v>
      </c>
      <c r="L720" s="4"/>
      <c r="M720" s="4"/>
      <c r="N720" t="s">
        <v>1594</v>
      </c>
      <c r="O720" s="4"/>
      <c r="P720" t="s">
        <v>676</v>
      </c>
      <c r="Q720">
        <v>3</v>
      </c>
    </row>
    <row r="721" spans="1:17" ht="14.25" customHeight="1" x14ac:dyDescent="0.25">
      <c r="A721" s="4"/>
      <c r="B721" s="21">
        <v>44219</v>
      </c>
      <c r="C721" s="5">
        <f t="shared" si="22"/>
        <v>4</v>
      </c>
      <c r="D721" s="5">
        <f t="shared" si="23"/>
        <v>7</v>
      </c>
      <c r="E721" s="1" t="s">
        <v>6</v>
      </c>
      <c r="F721" s="1" t="s">
        <v>12</v>
      </c>
      <c r="G721">
        <v>47837</v>
      </c>
      <c r="H721">
        <v>100739</v>
      </c>
      <c r="I721" s="4"/>
      <c r="J721" s="22">
        <v>0.33819444444444446</v>
      </c>
      <c r="K721" s="22">
        <v>0.87777777777777777</v>
      </c>
      <c r="L721" s="4"/>
      <c r="M721" s="4"/>
      <c r="N721" t="s">
        <v>1595</v>
      </c>
      <c r="O721" s="4"/>
      <c r="P721" t="s">
        <v>230</v>
      </c>
      <c r="Q721">
        <v>11</v>
      </c>
    </row>
    <row r="722" spans="1:17" ht="14.25" customHeight="1" x14ac:dyDescent="0.25">
      <c r="A722" s="4"/>
      <c r="B722" s="21">
        <v>44219</v>
      </c>
      <c r="C722" s="5">
        <f t="shared" si="22"/>
        <v>4</v>
      </c>
      <c r="D722" s="5">
        <f t="shared" si="23"/>
        <v>7</v>
      </c>
      <c r="E722" s="1" t="s">
        <v>6</v>
      </c>
      <c r="F722" s="1" t="s">
        <v>11</v>
      </c>
      <c r="G722">
        <v>47840</v>
      </c>
      <c r="H722">
        <v>100739</v>
      </c>
      <c r="I722" s="4"/>
      <c r="J722" s="22">
        <v>0.25625000000000003</v>
      </c>
      <c r="K722" s="22">
        <v>0.47986111111111113</v>
      </c>
      <c r="L722" s="4"/>
      <c r="M722" s="4"/>
      <c r="N722" t="s">
        <v>1596</v>
      </c>
      <c r="O722" s="4"/>
      <c r="P722" t="s">
        <v>677</v>
      </c>
      <c r="Q722">
        <v>29</v>
      </c>
    </row>
    <row r="723" spans="1:17" ht="14.25" customHeight="1" x14ac:dyDescent="0.25">
      <c r="A723" s="4"/>
      <c r="B723" s="21">
        <v>44219</v>
      </c>
      <c r="C723" s="5">
        <f t="shared" si="22"/>
        <v>4</v>
      </c>
      <c r="D723" s="5">
        <f t="shared" si="23"/>
        <v>7</v>
      </c>
      <c r="E723" s="1" t="s">
        <v>5</v>
      </c>
      <c r="F723" s="1" t="s">
        <v>18</v>
      </c>
      <c r="G723">
        <v>47841</v>
      </c>
      <c r="H723">
        <v>100739</v>
      </c>
      <c r="I723" s="4"/>
      <c r="J723" s="22">
        <v>0.46249999999999997</v>
      </c>
      <c r="K723" s="22">
        <v>0.9868055555555556</v>
      </c>
      <c r="L723" s="4"/>
      <c r="M723" s="4"/>
      <c r="N723" t="s">
        <v>1597</v>
      </c>
      <c r="O723" s="4"/>
      <c r="P723" t="s">
        <v>678</v>
      </c>
      <c r="Q723">
        <v>6</v>
      </c>
    </row>
    <row r="724" spans="1:17" ht="14.25" customHeight="1" x14ac:dyDescent="0.25">
      <c r="A724" s="4"/>
      <c r="B724" s="21">
        <v>44219</v>
      </c>
      <c r="C724" s="5">
        <f t="shared" si="22"/>
        <v>4</v>
      </c>
      <c r="D724" s="5">
        <f t="shared" si="23"/>
        <v>7</v>
      </c>
      <c r="E724" s="1" t="s">
        <v>5</v>
      </c>
      <c r="F724" s="1" t="s">
        <v>18</v>
      </c>
      <c r="G724">
        <v>47842</v>
      </c>
      <c r="H724">
        <v>100743</v>
      </c>
      <c r="I724" s="4"/>
      <c r="J724" s="22">
        <v>0.28819444444444448</v>
      </c>
      <c r="K724" s="22">
        <v>0.2638888888888889</v>
      </c>
      <c r="L724" s="4"/>
      <c r="M724" s="4"/>
      <c r="N724" t="s">
        <v>1598</v>
      </c>
      <c r="O724" s="4"/>
      <c r="P724" t="s">
        <v>679</v>
      </c>
      <c r="Q724">
        <v>29</v>
      </c>
    </row>
    <row r="725" spans="1:17" ht="14.25" customHeight="1" x14ac:dyDescent="0.25">
      <c r="A725" s="4"/>
      <c r="B725" s="21">
        <v>44219</v>
      </c>
      <c r="C725" s="5">
        <f t="shared" si="22"/>
        <v>4</v>
      </c>
      <c r="D725" s="5">
        <f t="shared" si="23"/>
        <v>7</v>
      </c>
      <c r="E725" s="1" t="s">
        <v>5</v>
      </c>
      <c r="F725" s="1" t="s">
        <v>20</v>
      </c>
      <c r="G725">
        <v>47843</v>
      </c>
      <c r="H725">
        <v>100743</v>
      </c>
      <c r="I725" s="4"/>
      <c r="J725" s="22">
        <v>0.31458333333333333</v>
      </c>
      <c r="K725" s="22">
        <v>0.23263888888888887</v>
      </c>
      <c r="L725" s="4"/>
      <c r="M725" s="4"/>
      <c r="N725" t="s">
        <v>1599</v>
      </c>
      <c r="O725" s="4"/>
      <c r="P725" t="s">
        <v>680</v>
      </c>
      <c r="Q725">
        <v>13</v>
      </c>
    </row>
    <row r="726" spans="1:17" ht="14.25" customHeight="1" x14ac:dyDescent="0.25">
      <c r="A726" s="4"/>
      <c r="B726" s="21">
        <v>44219</v>
      </c>
      <c r="C726" s="5">
        <f t="shared" si="22"/>
        <v>4</v>
      </c>
      <c r="D726" s="5">
        <f t="shared" si="23"/>
        <v>7</v>
      </c>
      <c r="E726" s="1" t="s">
        <v>6</v>
      </c>
      <c r="F726" s="1" t="s">
        <v>11</v>
      </c>
      <c r="G726">
        <v>47843</v>
      </c>
      <c r="H726">
        <v>100743</v>
      </c>
      <c r="I726" s="4"/>
      <c r="J726" s="22">
        <v>0.33263888888888887</v>
      </c>
      <c r="K726" s="22">
        <v>4.2361111111111106E-2</v>
      </c>
      <c r="L726" s="4"/>
      <c r="M726" s="4"/>
      <c r="N726" t="s">
        <v>1600</v>
      </c>
      <c r="O726" s="4"/>
      <c r="P726" t="s">
        <v>221</v>
      </c>
      <c r="Q726">
        <v>19</v>
      </c>
    </row>
    <row r="727" spans="1:17" ht="14.25" customHeight="1" x14ac:dyDescent="0.25">
      <c r="A727" s="4"/>
      <c r="B727" s="21">
        <v>44219</v>
      </c>
      <c r="C727" s="5">
        <f t="shared" si="22"/>
        <v>4</v>
      </c>
      <c r="D727" s="5">
        <f t="shared" si="23"/>
        <v>7</v>
      </c>
      <c r="E727" s="1" t="s">
        <v>7</v>
      </c>
      <c r="F727" s="1" t="s">
        <v>16</v>
      </c>
      <c r="G727">
        <v>47844</v>
      </c>
      <c r="H727">
        <v>100743</v>
      </c>
      <c r="I727" s="4"/>
      <c r="J727" s="22">
        <v>0.25277777777777777</v>
      </c>
      <c r="K727" s="22">
        <v>0.60277777777777775</v>
      </c>
      <c r="L727" s="4"/>
      <c r="M727" s="4"/>
      <c r="N727" t="s">
        <v>1601</v>
      </c>
      <c r="O727" s="4"/>
      <c r="P727" t="s">
        <v>672</v>
      </c>
      <c r="Q727">
        <v>17</v>
      </c>
    </row>
    <row r="728" spans="1:17" ht="14.25" customHeight="1" x14ac:dyDescent="0.25">
      <c r="A728" s="4"/>
      <c r="B728" s="21">
        <v>44219</v>
      </c>
      <c r="C728" s="5">
        <f t="shared" si="22"/>
        <v>4</v>
      </c>
      <c r="D728" s="5">
        <f t="shared" si="23"/>
        <v>7</v>
      </c>
      <c r="E728" s="1" t="s">
        <v>6</v>
      </c>
      <c r="F728" s="1" t="s">
        <v>11</v>
      </c>
      <c r="G728">
        <v>47844</v>
      </c>
      <c r="H728">
        <v>100744</v>
      </c>
      <c r="I728" s="4"/>
      <c r="J728" s="22">
        <v>0.27916666666666667</v>
      </c>
      <c r="K728" s="22">
        <v>0.38958333333333334</v>
      </c>
      <c r="L728" s="4"/>
      <c r="M728" s="4"/>
      <c r="N728" t="s">
        <v>1602</v>
      </c>
      <c r="O728" s="4"/>
      <c r="P728" t="s">
        <v>304</v>
      </c>
      <c r="Q728">
        <v>21</v>
      </c>
    </row>
    <row r="729" spans="1:17" ht="14.25" customHeight="1" x14ac:dyDescent="0.25">
      <c r="A729" s="4"/>
      <c r="B729" s="21">
        <v>44219</v>
      </c>
      <c r="C729" s="5">
        <f t="shared" si="22"/>
        <v>4</v>
      </c>
      <c r="D729" s="5">
        <f t="shared" si="23"/>
        <v>7</v>
      </c>
      <c r="E729" s="1" t="s">
        <v>7</v>
      </c>
      <c r="F729" s="1" t="s">
        <v>15</v>
      </c>
      <c r="G729">
        <v>47845</v>
      </c>
      <c r="H729">
        <v>100744</v>
      </c>
      <c r="I729" s="4"/>
      <c r="J729" s="22">
        <v>0.2951388888888889</v>
      </c>
      <c r="K729" s="22">
        <v>0.23472222222222219</v>
      </c>
      <c r="L729" s="4"/>
      <c r="M729" s="4"/>
      <c r="N729" t="s">
        <v>1603</v>
      </c>
      <c r="O729" s="4"/>
      <c r="P729" t="s">
        <v>681</v>
      </c>
      <c r="Q729">
        <v>17</v>
      </c>
    </row>
    <row r="730" spans="1:17" ht="14.25" customHeight="1" x14ac:dyDescent="0.25">
      <c r="A730" s="4"/>
      <c r="B730" s="21">
        <v>44219</v>
      </c>
      <c r="C730" s="5">
        <f t="shared" si="22"/>
        <v>4</v>
      </c>
      <c r="D730" s="5">
        <f t="shared" si="23"/>
        <v>7</v>
      </c>
      <c r="E730" s="1" t="s">
        <v>7</v>
      </c>
      <c r="F730" s="1" t="s">
        <v>15</v>
      </c>
      <c r="G730">
        <v>47845</v>
      </c>
      <c r="H730">
        <v>100745</v>
      </c>
      <c r="I730" s="4"/>
      <c r="J730" s="22">
        <v>0.45624999999999999</v>
      </c>
      <c r="K730" s="22">
        <v>0.69791666666666663</v>
      </c>
      <c r="L730" s="4"/>
      <c r="M730" s="4"/>
      <c r="N730" t="s">
        <v>1604</v>
      </c>
      <c r="O730" s="4"/>
      <c r="P730" t="s">
        <v>682</v>
      </c>
      <c r="Q730">
        <v>27</v>
      </c>
    </row>
    <row r="731" spans="1:17" ht="14.25" customHeight="1" x14ac:dyDescent="0.25">
      <c r="A731" s="4"/>
      <c r="B731" s="21">
        <v>44219</v>
      </c>
      <c r="C731" s="5">
        <f t="shared" si="22"/>
        <v>4</v>
      </c>
      <c r="D731" s="5">
        <f t="shared" si="23"/>
        <v>7</v>
      </c>
      <c r="E731" s="1" t="s">
        <v>6</v>
      </c>
      <c r="F731" s="1" t="s">
        <v>11</v>
      </c>
      <c r="G731">
        <v>47846</v>
      </c>
      <c r="H731">
        <v>100745</v>
      </c>
      <c r="I731" s="4"/>
      <c r="J731" s="22">
        <v>0.44513888888888892</v>
      </c>
      <c r="K731" s="22">
        <v>0.10416666666666667</v>
      </c>
      <c r="L731" s="4"/>
      <c r="M731" s="4"/>
      <c r="N731" t="s">
        <v>1605</v>
      </c>
      <c r="O731" s="4"/>
      <c r="P731" t="s">
        <v>683</v>
      </c>
      <c r="Q731">
        <v>16</v>
      </c>
    </row>
    <row r="732" spans="1:17" ht="14.25" customHeight="1" x14ac:dyDescent="0.25">
      <c r="A732" s="4"/>
      <c r="B732" s="21">
        <v>44219</v>
      </c>
      <c r="C732" s="5">
        <f t="shared" si="22"/>
        <v>4</v>
      </c>
      <c r="D732" s="5">
        <f t="shared" si="23"/>
        <v>7</v>
      </c>
      <c r="E732" s="1" t="s">
        <v>5</v>
      </c>
      <c r="F732" s="1" t="s">
        <v>20</v>
      </c>
      <c r="G732">
        <v>47847</v>
      </c>
      <c r="H732">
        <v>100748</v>
      </c>
      <c r="I732" s="4"/>
      <c r="J732" s="22">
        <v>0.4826388888888889</v>
      </c>
      <c r="K732" s="22">
        <v>9.9999999999999992E-2</v>
      </c>
      <c r="L732" s="4"/>
      <c r="M732" s="4"/>
      <c r="N732" t="s">
        <v>1606</v>
      </c>
      <c r="O732" s="4"/>
      <c r="P732" t="s">
        <v>684</v>
      </c>
      <c r="Q732">
        <v>8</v>
      </c>
    </row>
    <row r="733" spans="1:17" ht="14.25" customHeight="1" x14ac:dyDescent="0.25">
      <c r="A733" s="4"/>
      <c r="B733" s="21">
        <v>44219</v>
      </c>
      <c r="C733" s="5">
        <f t="shared" si="22"/>
        <v>4</v>
      </c>
      <c r="D733" s="5">
        <f t="shared" si="23"/>
        <v>7</v>
      </c>
      <c r="E733" s="1" t="s">
        <v>6</v>
      </c>
      <c r="F733" s="1" t="s">
        <v>11</v>
      </c>
      <c r="G733">
        <v>47847</v>
      </c>
      <c r="H733">
        <v>100749</v>
      </c>
      <c r="I733" s="4"/>
      <c r="J733" s="22">
        <v>0.27499999999999997</v>
      </c>
      <c r="K733" s="22">
        <v>0.18055555555555555</v>
      </c>
      <c r="L733" s="4"/>
      <c r="M733" s="4"/>
      <c r="N733" t="s">
        <v>1607</v>
      </c>
      <c r="O733" s="4"/>
      <c r="P733" t="s">
        <v>437</v>
      </c>
      <c r="Q733">
        <v>9</v>
      </c>
    </row>
    <row r="734" spans="1:17" ht="14.25" customHeight="1" x14ac:dyDescent="0.25">
      <c r="A734" s="4"/>
      <c r="B734" s="21">
        <v>44219</v>
      </c>
      <c r="C734" s="5">
        <f t="shared" si="22"/>
        <v>4</v>
      </c>
      <c r="D734" s="5">
        <f t="shared" si="23"/>
        <v>7</v>
      </c>
      <c r="E734" s="1" t="s">
        <v>7</v>
      </c>
      <c r="F734" s="1" t="s">
        <v>16</v>
      </c>
      <c r="G734">
        <v>47848</v>
      </c>
      <c r="H734">
        <v>100750</v>
      </c>
      <c r="I734" s="4"/>
      <c r="J734" s="22">
        <v>0.28541666666666665</v>
      </c>
      <c r="K734" s="22">
        <v>0.76111111111111107</v>
      </c>
      <c r="L734" s="4"/>
      <c r="M734" s="4"/>
      <c r="N734" t="s">
        <v>1608</v>
      </c>
      <c r="O734" s="4"/>
      <c r="P734" t="s">
        <v>685</v>
      </c>
      <c r="Q734">
        <v>32</v>
      </c>
    </row>
    <row r="735" spans="1:17" ht="14.25" customHeight="1" x14ac:dyDescent="0.25">
      <c r="A735" s="4"/>
      <c r="B735" s="21">
        <v>44219</v>
      </c>
      <c r="C735" s="5">
        <f t="shared" si="22"/>
        <v>4</v>
      </c>
      <c r="D735" s="5">
        <f t="shared" si="23"/>
        <v>7</v>
      </c>
      <c r="E735" s="1" t="s">
        <v>7</v>
      </c>
      <c r="F735" s="1" t="s">
        <v>15</v>
      </c>
      <c r="G735">
        <v>47848</v>
      </c>
      <c r="H735">
        <v>100752</v>
      </c>
      <c r="I735" s="4"/>
      <c r="J735" s="22">
        <v>0.27777777777777779</v>
      </c>
      <c r="K735" s="22">
        <v>0.56944444444444442</v>
      </c>
      <c r="L735" s="4"/>
      <c r="M735" s="4"/>
      <c r="N735" t="s">
        <v>1609</v>
      </c>
      <c r="O735" s="4"/>
      <c r="P735" t="s">
        <v>686</v>
      </c>
      <c r="Q735">
        <v>15</v>
      </c>
    </row>
    <row r="736" spans="1:17" ht="14.25" customHeight="1" x14ac:dyDescent="0.25">
      <c r="A736" s="4"/>
      <c r="B736" s="21">
        <v>44219</v>
      </c>
      <c r="C736" s="5">
        <f t="shared" si="22"/>
        <v>4</v>
      </c>
      <c r="D736" s="5">
        <f t="shared" si="23"/>
        <v>7</v>
      </c>
      <c r="E736" s="1" t="s">
        <v>5</v>
      </c>
      <c r="F736" s="1" t="s">
        <v>17</v>
      </c>
      <c r="G736">
        <v>47849</v>
      </c>
      <c r="H736">
        <v>100754</v>
      </c>
      <c r="I736" s="4"/>
      <c r="J736" s="22">
        <v>0.47013888888888888</v>
      </c>
      <c r="K736" s="22">
        <v>0.54861111111111105</v>
      </c>
      <c r="L736" s="4"/>
      <c r="M736" s="4"/>
      <c r="N736" t="s">
        <v>1610</v>
      </c>
      <c r="O736" s="4"/>
      <c r="P736" t="s">
        <v>687</v>
      </c>
      <c r="Q736">
        <v>12</v>
      </c>
    </row>
    <row r="737" spans="1:17" ht="14.25" customHeight="1" x14ac:dyDescent="0.25">
      <c r="A737" s="4"/>
      <c r="B737" s="21">
        <v>44219</v>
      </c>
      <c r="C737" s="5">
        <f t="shared" si="22"/>
        <v>4</v>
      </c>
      <c r="D737" s="5">
        <f t="shared" si="23"/>
        <v>7</v>
      </c>
      <c r="E737" s="1" t="s">
        <v>6</v>
      </c>
      <c r="F737" s="1" t="s">
        <v>11</v>
      </c>
      <c r="G737">
        <v>47850</v>
      </c>
      <c r="H737">
        <v>100754</v>
      </c>
      <c r="I737" s="4"/>
      <c r="J737" s="22">
        <v>0.3347222222222222</v>
      </c>
      <c r="K737" s="22">
        <v>0.72430555555555554</v>
      </c>
      <c r="L737" s="4"/>
      <c r="M737" s="4"/>
      <c r="N737" t="s">
        <v>1611</v>
      </c>
      <c r="O737" s="4"/>
      <c r="P737" t="s">
        <v>688</v>
      </c>
      <c r="Q737">
        <v>7</v>
      </c>
    </row>
    <row r="738" spans="1:17" ht="14.25" customHeight="1" x14ac:dyDescent="0.25">
      <c r="A738" s="4"/>
      <c r="B738" s="21">
        <v>44219</v>
      </c>
      <c r="C738" s="5">
        <f t="shared" si="22"/>
        <v>4</v>
      </c>
      <c r="D738" s="5">
        <f t="shared" si="23"/>
        <v>7</v>
      </c>
      <c r="E738" s="1" t="s">
        <v>5</v>
      </c>
      <c r="F738" s="1" t="s">
        <v>19</v>
      </c>
      <c r="G738">
        <v>47851</v>
      </c>
      <c r="H738">
        <v>100755</v>
      </c>
      <c r="I738" s="4"/>
      <c r="J738" s="22">
        <v>0.41805555555555557</v>
      </c>
      <c r="K738" s="22">
        <v>0.53402777777777777</v>
      </c>
      <c r="L738" s="4"/>
      <c r="M738" s="4"/>
      <c r="N738" t="s">
        <v>1612</v>
      </c>
      <c r="O738" s="4"/>
      <c r="P738" t="s">
        <v>327</v>
      </c>
      <c r="Q738">
        <v>13</v>
      </c>
    </row>
    <row r="739" spans="1:17" ht="14.25" customHeight="1" x14ac:dyDescent="0.25">
      <c r="A739" s="4"/>
      <c r="B739" s="21">
        <v>44219</v>
      </c>
      <c r="C739" s="5">
        <f t="shared" si="22"/>
        <v>4</v>
      </c>
      <c r="D739" s="5">
        <f t="shared" si="23"/>
        <v>7</v>
      </c>
      <c r="E739" s="1" t="s">
        <v>5</v>
      </c>
      <c r="F739" s="1" t="s">
        <v>17</v>
      </c>
      <c r="G739">
        <v>47852</v>
      </c>
      <c r="H739">
        <v>100755</v>
      </c>
      <c r="I739" s="4"/>
      <c r="J739" s="22">
        <v>0.46875</v>
      </c>
      <c r="K739" s="22">
        <v>0.42708333333333331</v>
      </c>
      <c r="L739" s="4"/>
      <c r="M739" s="4"/>
      <c r="N739" t="s">
        <v>1613</v>
      </c>
      <c r="O739" s="4"/>
      <c r="P739" t="s">
        <v>474</v>
      </c>
      <c r="Q739">
        <v>9</v>
      </c>
    </row>
    <row r="740" spans="1:17" ht="14.25" customHeight="1" x14ac:dyDescent="0.25">
      <c r="A740" s="4"/>
      <c r="B740" s="21">
        <v>44219</v>
      </c>
      <c r="C740" s="5">
        <f t="shared" si="22"/>
        <v>4</v>
      </c>
      <c r="D740" s="5">
        <f t="shared" si="23"/>
        <v>7</v>
      </c>
      <c r="E740" s="1" t="s">
        <v>6</v>
      </c>
      <c r="F740" s="1" t="s">
        <v>12</v>
      </c>
      <c r="G740">
        <v>47854</v>
      </c>
      <c r="H740">
        <v>100756</v>
      </c>
      <c r="I740" s="4"/>
      <c r="J740" s="22">
        <v>0.4368055555555555</v>
      </c>
      <c r="K740" s="22">
        <v>0.77083333333333337</v>
      </c>
      <c r="L740" s="4"/>
      <c r="M740" s="4"/>
      <c r="N740" t="s">
        <v>1614</v>
      </c>
      <c r="O740" s="4"/>
      <c r="P740" t="s">
        <v>689</v>
      </c>
      <c r="Q740">
        <v>28</v>
      </c>
    </row>
    <row r="741" spans="1:17" ht="14.25" customHeight="1" x14ac:dyDescent="0.25">
      <c r="A741" s="4"/>
      <c r="B741" s="21">
        <v>44219</v>
      </c>
      <c r="C741" s="5">
        <f t="shared" si="22"/>
        <v>4</v>
      </c>
      <c r="D741" s="5">
        <f t="shared" si="23"/>
        <v>7</v>
      </c>
      <c r="E741" s="1" t="s">
        <v>7</v>
      </c>
      <c r="F741" s="1" t="s">
        <v>14</v>
      </c>
      <c r="G741">
        <v>47854</v>
      </c>
      <c r="H741">
        <v>100756</v>
      </c>
      <c r="I741" s="4"/>
      <c r="J741" s="22">
        <v>0.48055555555555557</v>
      </c>
      <c r="K741" s="22">
        <v>0.44930555555555557</v>
      </c>
      <c r="L741" s="4"/>
      <c r="M741" s="4"/>
      <c r="N741" t="s">
        <v>1615</v>
      </c>
      <c r="O741" s="4"/>
      <c r="P741" t="s">
        <v>690</v>
      </c>
      <c r="Q741">
        <v>9</v>
      </c>
    </row>
    <row r="742" spans="1:17" ht="14.25" customHeight="1" x14ac:dyDescent="0.25">
      <c r="A742" s="4"/>
      <c r="B742" s="21">
        <v>44219</v>
      </c>
      <c r="C742" s="5">
        <f t="shared" si="22"/>
        <v>4</v>
      </c>
      <c r="D742" s="5">
        <f t="shared" si="23"/>
        <v>7</v>
      </c>
      <c r="E742" s="1" t="s">
        <v>5</v>
      </c>
      <c r="F742" s="1" t="s">
        <v>20</v>
      </c>
      <c r="G742">
        <v>47856</v>
      </c>
      <c r="H742">
        <v>100756</v>
      </c>
      <c r="I742" s="4"/>
      <c r="J742" s="22">
        <v>0.40486111111111112</v>
      </c>
      <c r="K742" s="22">
        <v>0.52986111111111112</v>
      </c>
      <c r="L742" s="4"/>
      <c r="M742" s="4"/>
      <c r="N742" t="s">
        <v>1616</v>
      </c>
      <c r="O742" s="4"/>
      <c r="P742" t="s">
        <v>691</v>
      </c>
      <c r="Q742">
        <v>11</v>
      </c>
    </row>
    <row r="743" spans="1:17" ht="14.25" customHeight="1" x14ac:dyDescent="0.25">
      <c r="A743" s="4"/>
      <c r="B743" s="21">
        <v>44219</v>
      </c>
      <c r="C743" s="5">
        <f t="shared" si="22"/>
        <v>4</v>
      </c>
      <c r="D743" s="5">
        <f t="shared" si="23"/>
        <v>7</v>
      </c>
      <c r="E743" s="1" t="s">
        <v>7</v>
      </c>
      <c r="F743" s="1" t="s">
        <v>14</v>
      </c>
      <c r="G743">
        <v>47856</v>
      </c>
      <c r="H743">
        <v>100757</v>
      </c>
      <c r="I743" s="4"/>
      <c r="J743" s="22">
        <v>0.2986111111111111</v>
      </c>
      <c r="K743" s="22">
        <v>0.5131944444444444</v>
      </c>
      <c r="L743" s="4"/>
      <c r="M743" s="4"/>
      <c r="N743" t="s">
        <v>1617</v>
      </c>
      <c r="O743" s="4"/>
      <c r="P743" t="s">
        <v>692</v>
      </c>
      <c r="Q743">
        <v>1</v>
      </c>
    </row>
    <row r="744" spans="1:17" ht="14.25" customHeight="1" x14ac:dyDescent="0.25">
      <c r="A744" s="4"/>
      <c r="B744" s="21">
        <v>44219</v>
      </c>
      <c r="C744" s="5">
        <f t="shared" si="22"/>
        <v>4</v>
      </c>
      <c r="D744" s="5">
        <f t="shared" si="23"/>
        <v>7</v>
      </c>
      <c r="E744" s="1" t="s">
        <v>7</v>
      </c>
      <c r="F744" s="1" t="s">
        <v>16</v>
      </c>
      <c r="G744">
        <v>47856</v>
      </c>
      <c r="H744">
        <v>100757</v>
      </c>
      <c r="I744" s="4"/>
      <c r="J744" s="22">
        <v>0.2638888888888889</v>
      </c>
      <c r="K744" s="22">
        <v>0.65</v>
      </c>
      <c r="L744" s="4"/>
      <c r="M744" s="4"/>
      <c r="N744" t="s">
        <v>1618</v>
      </c>
      <c r="O744" s="4"/>
      <c r="P744" t="s">
        <v>693</v>
      </c>
      <c r="Q744">
        <v>33</v>
      </c>
    </row>
    <row r="745" spans="1:17" ht="14.25" customHeight="1" x14ac:dyDescent="0.25">
      <c r="A745" s="4"/>
      <c r="B745" s="21">
        <v>44219</v>
      </c>
      <c r="C745" s="5">
        <f t="shared" si="22"/>
        <v>4</v>
      </c>
      <c r="D745" s="5">
        <f t="shared" si="23"/>
        <v>7</v>
      </c>
      <c r="E745" s="1" t="s">
        <v>6</v>
      </c>
      <c r="F745" s="1" t="s">
        <v>12</v>
      </c>
      <c r="G745">
        <v>47857</v>
      </c>
      <c r="H745">
        <v>100760</v>
      </c>
      <c r="I745" s="4"/>
      <c r="J745" s="22">
        <v>0.2986111111111111</v>
      </c>
      <c r="K745" s="22">
        <v>0.31736111111111115</v>
      </c>
      <c r="L745" s="4"/>
      <c r="M745" s="4"/>
      <c r="N745" t="s">
        <v>1619</v>
      </c>
      <c r="O745" s="4"/>
      <c r="P745" t="s">
        <v>694</v>
      </c>
      <c r="Q745">
        <v>10</v>
      </c>
    </row>
    <row r="746" spans="1:17" ht="14.25" customHeight="1" x14ac:dyDescent="0.25">
      <c r="A746" s="4"/>
      <c r="B746" s="21">
        <v>44219</v>
      </c>
      <c r="C746" s="5">
        <f t="shared" si="22"/>
        <v>4</v>
      </c>
      <c r="D746" s="5">
        <f t="shared" si="23"/>
        <v>7</v>
      </c>
      <c r="E746" s="1" t="s">
        <v>5</v>
      </c>
      <c r="F746" s="1" t="s">
        <v>18</v>
      </c>
      <c r="G746">
        <v>47857</v>
      </c>
      <c r="H746">
        <v>100760</v>
      </c>
      <c r="I746" s="4"/>
      <c r="J746" s="22">
        <v>0.32708333333333334</v>
      </c>
      <c r="K746" s="22">
        <v>8.6805555555555566E-2</v>
      </c>
      <c r="L746" s="4"/>
      <c r="M746" s="4"/>
      <c r="N746" t="s">
        <v>1620</v>
      </c>
      <c r="O746" s="4"/>
      <c r="P746" t="s">
        <v>291</v>
      </c>
      <c r="Q746">
        <v>20</v>
      </c>
    </row>
    <row r="747" spans="1:17" ht="14.25" customHeight="1" x14ac:dyDescent="0.25">
      <c r="A747" s="4"/>
      <c r="B747" s="21">
        <v>44219</v>
      </c>
      <c r="C747" s="5">
        <f t="shared" si="22"/>
        <v>4</v>
      </c>
      <c r="D747" s="5">
        <f t="shared" si="23"/>
        <v>7</v>
      </c>
      <c r="E747" s="1" t="s">
        <v>6</v>
      </c>
      <c r="F747" s="1" t="s">
        <v>13</v>
      </c>
      <c r="G747">
        <v>47858</v>
      </c>
      <c r="H747">
        <v>100763</v>
      </c>
      <c r="I747" s="4"/>
      <c r="J747" s="22">
        <v>0.48333333333333334</v>
      </c>
      <c r="K747" s="22">
        <v>0.78680555555555554</v>
      </c>
      <c r="L747" s="4"/>
      <c r="M747" s="4"/>
      <c r="N747" t="s">
        <v>1621</v>
      </c>
      <c r="O747" s="4"/>
      <c r="P747" t="s">
        <v>139</v>
      </c>
      <c r="Q747">
        <v>29</v>
      </c>
    </row>
    <row r="748" spans="1:17" ht="14.25" customHeight="1" x14ac:dyDescent="0.25">
      <c r="A748" s="4"/>
      <c r="B748" s="21">
        <v>44220</v>
      </c>
      <c r="C748" s="5">
        <f t="shared" si="22"/>
        <v>5</v>
      </c>
      <c r="D748" s="5">
        <f t="shared" si="23"/>
        <v>1</v>
      </c>
      <c r="E748" s="1" t="s">
        <v>6</v>
      </c>
      <c r="F748" s="1" t="s">
        <v>11</v>
      </c>
      <c r="G748">
        <v>47859</v>
      </c>
      <c r="H748">
        <v>100763</v>
      </c>
      <c r="I748" s="4"/>
      <c r="J748" s="22">
        <v>0.31597222222222221</v>
      </c>
      <c r="K748" s="22">
        <v>0.13333333333333333</v>
      </c>
      <c r="L748" s="4"/>
      <c r="M748" s="4"/>
      <c r="N748" t="s">
        <v>1622</v>
      </c>
      <c r="O748" s="4"/>
      <c r="P748" t="s">
        <v>130</v>
      </c>
      <c r="Q748">
        <v>30</v>
      </c>
    </row>
    <row r="749" spans="1:17" ht="14.25" customHeight="1" x14ac:dyDescent="0.25">
      <c r="A749" s="4"/>
      <c r="B749" s="21">
        <v>44220</v>
      </c>
      <c r="C749" s="5">
        <f t="shared" si="22"/>
        <v>5</v>
      </c>
      <c r="D749" s="5">
        <f t="shared" si="23"/>
        <v>1</v>
      </c>
      <c r="E749" s="1" t="s">
        <v>5</v>
      </c>
      <c r="F749" s="1" t="s">
        <v>20</v>
      </c>
      <c r="G749">
        <v>47864</v>
      </c>
      <c r="H749">
        <v>100763</v>
      </c>
      <c r="I749" s="4"/>
      <c r="J749" s="22">
        <v>0.49791666666666662</v>
      </c>
      <c r="K749" s="22">
        <v>0.64166666666666672</v>
      </c>
      <c r="L749" s="4"/>
      <c r="M749" s="4"/>
      <c r="N749" t="s">
        <v>1623</v>
      </c>
      <c r="O749" s="4"/>
      <c r="P749" t="s">
        <v>695</v>
      </c>
      <c r="Q749">
        <v>3</v>
      </c>
    </row>
    <row r="750" spans="1:17" ht="14.25" customHeight="1" x14ac:dyDescent="0.25">
      <c r="A750" s="4"/>
      <c r="B750" s="21">
        <v>44220</v>
      </c>
      <c r="C750" s="5">
        <f t="shared" si="22"/>
        <v>5</v>
      </c>
      <c r="D750" s="5">
        <f t="shared" si="23"/>
        <v>1</v>
      </c>
      <c r="E750" s="1" t="s">
        <v>5</v>
      </c>
      <c r="F750" s="1" t="s">
        <v>17</v>
      </c>
      <c r="G750">
        <v>47864</v>
      </c>
      <c r="H750">
        <v>100764</v>
      </c>
      <c r="I750" s="4"/>
      <c r="J750" s="22">
        <v>0.30694444444444441</v>
      </c>
      <c r="K750" s="22">
        <v>0.84652777777777777</v>
      </c>
      <c r="L750" s="4"/>
      <c r="M750" s="4"/>
      <c r="N750" t="s">
        <v>1624</v>
      </c>
      <c r="O750" s="4"/>
      <c r="P750" t="s">
        <v>696</v>
      </c>
      <c r="Q750">
        <v>27</v>
      </c>
    </row>
    <row r="751" spans="1:17" ht="14.25" customHeight="1" x14ac:dyDescent="0.25">
      <c r="A751" s="4"/>
      <c r="B751" s="21">
        <v>44220</v>
      </c>
      <c r="C751" s="5">
        <f t="shared" si="22"/>
        <v>5</v>
      </c>
      <c r="D751" s="5">
        <f t="shared" si="23"/>
        <v>1</v>
      </c>
      <c r="E751" s="1" t="s">
        <v>5</v>
      </c>
      <c r="F751" s="1" t="s">
        <v>19</v>
      </c>
      <c r="G751">
        <v>47865</v>
      </c>
      <c r="H751">
        <v>100764</v>
      </c>
      <c r="I751" s="4"/>
      <c r="J751" s="22">
        <v>0.45069444444444445</v>
      </c>
      <c r="K751" s="22">
        <v>7.5694444444444439E-2</v>
      </c>
      <c r="L751" s="4"/>
      <c r="M751" s="4"/>
      <c r="N751" t="s">
        <v>1625</v>
      </c>
      <c r="O751" s="4"/>
      <c r="P751" t="s">
        <v>697</v>
      </c>
      <c r="Q751">
        <v>32</v>
      </c>
    </row>
    <row r="752" spans="1:17" ht="14.25" customHeight="1" x14ac:dyDescent="0.25">
      <c r="A752" s="4"/>
      <c r="B752" s="21">
        <v>44220</v>
      </c>
      <c r="C752" s="5">
        <f t="shared" si="22"/>
        <v>5</v>
      </c>
      <c r="D752" s="5">
        <f t="shared" si="23"/>
        <v>1</v>
      </c>
      <c r="E752" s="1" t="s">
        <v>7</v>
      </c>
      <c r="F752" s="1" t="s">
        <v>15</v>
      </c>
      <c r="G752">
        <v>47866</v>
      </c>
      <c r="H752">
        <v>100766</v>
      </c>
      <c r="I752" s="4"/>
      <c r="J752" s="22">
        <v>0.41111111111111115</v>
      </c>
      <c r="K752" s="22">
        <v>0.9277777777777777</v>
      </c>
      <c r="L752" s="4"/>
      <c r="M752" s="4"/>
      <c r="N752" t="s">
        <v>1626</v>
      </c>
      <c r="O752" s="4"/>
      <c r="P752" t="s">
        <v>698</v>
      </c>
      <c r="Q752">
        <v>25</v>
      </c>
    </row>
    <row r="753" spans="1:17" ht="14.25" customHeight="1" x14ac:dyDescent="0.25">
      <c r="A753" s="4"/>
      <c r="B753" s="21">
        <v>44220</v>
      </c>
      <c r="C753" s="5">
        <f t="shared" si="22"/>
        <v>5</v>
      </c>
      <c r="D753" s="5">
        <f t="shared" si="23"/>
        <v>1</v>
      </c>
      <c r="E753" s="1" t="s">
        <v>6</v>
      </c>
      <c r="F753" s="1" t="s">
        <v>11</v>
      </c>
      <c r="G753">
        <v>47867</v>
      </c>
      <c r="H753">
        <v>100768</v>
      </c>
      <c r="I753" s="4"/>
      <c r="J753" s="22">
        <v>0.38680555555555557</v>
      </c>
      <c r="K753" s="22">
        <v>0.14027777777777778</v>
      </c>
      <c r="L753" s="4"/>
      <c r="M753" s="4"/>
      <c r="N753" t="s">
        <v>1627</v>
      </c>
      <c r="O753" s="4"/>
      <c r="P753" t="s">
        <v>699</v>
      </c>
      <c r="Q753">
        <v>4</v>
      </c>
    </row>
    <row r="754" spans="1:17" ht="14.25" customHeight="1" x14ac:dyDescent="0.25">
      <c r="A754" s="4"/>
      <c r="B754" s="21">
        <v>44220</v>
      </c>
      <c r="C754" s="5">
        <f t="shared" si="22"/>
        <v>5</v>
      </c>
      <c r="D754" s="5">
        <f t="shared" si="23"/>
        <v>1</v>
      </c>
      <c r="E754" s="1" t="s">
        <v>5</v>
      </c>
      <c r="F754" s="1" t="s">
        <v>19</v>
      </c>
      <c r="G754">
        <v>47867</v>
      </c>
      <c r="H754">
        <v>100768</v>
      </c>
      <c r="I754" s="4"/>
      <c r="J754" s="22">
        <v>0.45555555555555555</v>
      </c>
      <c r="K754" s="22">
        <v>0.54166666666666663</v>
      </c>
      <c r="L754" s="4"/>
      <c r="M754" s="4"/>
      <c r="N754" t="s">
        <v>1628</v>
      </c>
      <c r="O754" s="4"/>
      <c r="P754" t="s">
        <v>609</v>
      </c>
      <c r="Q754">
        <v>3</v>
      </c>
    </row>
    <row r="755" spans="1:17" ht="14.25" customHeight="1" x14ac:dyDescent="0.25">
      <c r="A755" s="4"/>
      <c r="B755" s="21">
        <v>44220</v>
      </c>
      <c r="C755" s="5">
        <f t="shared" si="22"/>
        <v>5</v>
      </c>
      <c r="D755" s="5">
        <f t="shared" si="23"/>
        <v>1</v>
      </c>
      <c r="E755" s="1" t="s">
        <v>7</v>
      </c>
      <c r="F755" s="1" t="s">
        <v>16</v>
      </c>
      <c r="G755">
        <v>47868</v>
      </c>
      <c r="H755">
        <v>100770</v>
      </c>
      <c r="I755" s="4"/>
      <c r="J755" s="22">
        <v>0.3833333333333333</v>
      </c>
      <c r="K755" s="22">
        <v>0.7319444444444444</v>
      </c>
      <c r="L755" s="4"/>
      <c r="M755" s="4"/>
      <c r="N755" t="s">
        <v>1629</v>
      </c>
      <c r="O755" s="4"/>
      <c r="P755" t="s">
        <v>700</v>
      </c>
      <c r="Q755">
        <v>5</v>
      </c>
    </row>
    <row r="756" spans="1:17" ht="14.25" customHeight="1" x14ac:dyDescent="0.25">
      <c r="A756" s="4"/>
      <c r="B756" s="21">
        <v>44220</v>
      </c>
      <c r="C756" s="5">
        <f t="shared" si="22"/>
        <v>5</v>
      </c>
      <c r="D756" s="5">
        <f t="shared" si="23"/>
        <v>1</v>
      </c>
      <c r="E756" s="1" t="s">
        <v>5</v>
      </c>
      <c r="F756" s="1" t="s">
        <v>17</v>
      </c>
      <c r="G756">
        <v>47868</v>
      </c>
      <c r="H756">
        <v>100771</v>
      </c>
      <c r="I756" s="4"/>
      <c r="J756" s="22">
        <v>0.34027777777777773</v>
      </c>
      <c r="K756" s="22">
        <v>0.99652777777777779</v>
      </c>
      <c r="L756" s="4"/>
      <c r="M756" s="4"/>
      <c r="N756" t="s">
        <v>1630</v>
      </c>
      <c r="O756" s="4"/>
      <c r="P756" t="s">
        <v>668</v>
      </c>
      <c r="Q756">
        <v>14</v>
      </c>
    </row>
    <row r="757" spans="1:17" ht="14.25" customHeight="1" x14ac:dyDescent="0.25">
      <c r="A757" s="4"/>
      <c r="B757" s="21">
        <v>44220</v>
      </c>
      <c r="C757" s="5">
        <f t="shared" si="22"/>
        <v>5</v>
      </c>
      <c r="D757" s="5">
        <f t="shared" si="23"/>
        <v>1</v>
      </c>
      <c r="E757" s="1" t="s">
        <v>6</v>
      </c>
      <c r="F757" s="1" t="s">
        <v>12</v>
      </c>
      <c r="G757">
        <v>47871</v>
      </c>
      <c r="H757">
        <v>100773</v>
      </c>
      <c r="I757" s="4"/>
      <c r="J757" s="22">
        <v>0.45624999999999999</v>
      </c>
      <c r="K757" s="22">
        <v>1.2499999999999999E-2</v>
      </c>
      <c r="L757" s="4"/>
      <c r="M757" s="4"/>
      <c r="N757" t="s">
        <v>1631</v>
      </c>
      <c r="O757" s="4"/>
      <c r="P757" t="s">
        <v>701</v>
      </c>
      <c r="Q757">
        <v>1</v>
      </c>
    </row>
    <row r="758" spans="1:17" ht="14.25" customHeight="1" x14ac:dyDescent="0.25">
      <c r="A758" s="4"/>
      <c r="B758" s="21">
        <v>44220</v>
      </c>
      <c r="C758" s="5">
        <f t="shared" si="22"/>
        <v>5</v>
      </c>
      <c r="D758" s="5">
        <f t="shared" si="23"/>
        <v>1</v>
      </c>
      <c r="E758" s="1" t="s">
        <v>6</v>
      </c>
      <c r="F758" s="1" t="s">
        <v>13</v>
      </c>
      <c r="G758">
        <v>47871</v>
      </c>
      <c r="H758">
        <v>100773</v>
      </c>
      <c r="I758" s="4"/>
      <c r="J758" s="22">
        <v>0.2902777777777778</v>
      </c>
      <c r="K758" s="22">
        <v>0.1361111111111111</v>
      </c>
      <c r="L758" s="4"/>
      <c r="M758" s="4"/>
      <c r="N758" t="s">
        <v>1632</v>
      </c>
      <c r="O758" s="4"/>
      <c r="P758" t="s">
        <v>702</v>
      </c>
      <c r="Q758">
        <v>28</v>
      </c>
    </row>
    <row r="759" spans="1:17" ht="14.25" customHeight="1" x14ac:dyDescent="0.25">
      <c r="A759" s="4"/>
      <c r="B759" s="21">
        <v>44220</v>
      </c>
      <c r="C759" s="5">
        <f t="shared" si="22"/>
        <v>5</v>
      </c>
      <c r="D759" s="5">
        <f t="shared" si="23"/>
        <v>1</v>
      </c>
      <c r="E759" s="1" t="s">
        <v>7</v>
      </c>
      <c r="F759" s="1" t="s">
        <v>14</v>
      </c>
      <c r="G759">
        <v>47872</v>
      </c>
      <c r="H759">
        <v>100774</v>
      </c>
      <c r="I759" s="4"/>
      <c r="J759" s="22">
        <v>0.28194444444444444</v>
      </c>
      <c r="K759" s="22">
        <v>0.3840277777777778</v>
      </c>
      <c r="L759" s="4"/>
      <c r="M759" s="4"/>
      <c r="N759" t="s">
        <v>1633</v>
      </c>
      <c r="O759" s="4"/>
      <c r="P759" t="s">
        <v>255</v>
      </c>
      <c r="Q759">
        <v>22</v>
      </c>
    </row>
    <row r="760" spans="1:17" ht="14.25" customHeight="1" x14ac:dyDescent="0.25">
      <c r="A760" s="4"/>
      <c r="B760" s="21">
        <v>44220</v>
      </c>
      <c r="C760" s="5">
        <f t="shared" si="22"/>
        <v>5</v>
      </c>
      <c r="D760" s="5">
        <f t="shared" si="23"/>
        <v>1</v>
      </c>
      <c r="E760" s="1" t="s">
        <v>7</v>
      </c>
      <c r="F760" s="1" t="s">
        <v>15</v>
      </c>
      <c r="G760">
        <v>47872</v>
      </c>
      <c r="H760">
        <v>100774</v>
      </c>
      <c r="I760" s="4"/>
      <c r="J760" s="22">
        <v>0.30486111111111108</v>
      </c>
      <c r="K760" s="22">
        <v>0.58819444444444446</v>
      </c>
      <c r="L760" s="4"/>
      <c r="M760" s="4"/>
      <c r="N760" t="s">
        <v>1634</v>
      </c>
      <c r="O760" s="4"/>
      <c r="P760" t="s">
        <v>524</v>
      </c>
      <c r="Q760">
        <v>25</v>
      </c>
    </row>
    <row r="761" spans="1:17" ht="14.25" customHeight="1" x14ac:dyDescent="0.25">
      <c r="A761" s="4"/>
      <c r="B761" s="21">
        <v>44220</v>
      </c>
      <c r="C761" s="5">
        <f t="shared" si="22"/>
        <v>5</v>
      </c>
      <c r="D761" s="5">
        <f t="shared" si="23"/>
        <v>1</v>
      </c>
      <c r="E761" s="1" t="s">
        <v>6</v>
      </c>
      <c r="F761" s="1" t="s">
        <v>12</v>
      </c>
      <c r="G761">
        <v>47874</v>
      </c>
      <c r="H761">
        <v>100774</v>
      </c>
      <c r="I761" s="4"/>
      <c r="J761" s="22">
        <v>0.43263888888888885</v>
      </c>
      <c r="K761" s="22">
        <v>0.27986111111111112</v>
      </c>
      <c r="L761" s="4"/>
      <c r="M761" s="4"/>
      <c r="N761" t="s">
        <v>1635</v>
      </c>
      <c r="O761" s="4"/>
      <c r="P761" t="s">
        <v>612</v>
      </c>
      <c r="Q761">
        <v>7</v>
      </c>
    </row>
    <row r="762" spans="1:17" ht="14.25" customHeight="1" x14ac:dyDescent="0.25">
      <c r="A762" s="4"/>
      <c r="B762" s="21">
        <v>44220</v>
      </c>
      <c r="C762" s="5">
        <f t="shared" si="22"/>
        <v>5</v>
      </c>
      <c r="D762" s="5">
        <f t="shared" si="23"/>
        <v>1</v>
      </c>
      <c r="E762" s="1" t="s">
        <v>7</v>
      </c>
      <c r="F762" s="1" t="s">
        <v>16</v>
      </c>
      <c r="G762">
        <v>47875</v>
      </c>
      <c r="H762">
        <v>100775</v>
      </c>
      <c r="I762" s="4"/>
      <c r="J762" s="22">
        <v>0.45416666666666666</v>
      </c>
      <c r="K762" s="22">
        <v>0.45763888888888887</v>
      </c>
      <c r="L762" s="4"/>
      <c r="M762" s="4"/>
      <c r="N762" t="s">
        <v>1636</v>
      </c>
      <c r="O762" s="4"/>
      <c r="P762" t="s">
        <v>703</v>
      </c>
      <c r="Q762">
        <v>17</v>
      </c>
    </row>
    <row r="763" spans="1:17" ht="14.25" customHeight="1" x14ac:dyDescent="0.25">
      <c r="A763" s="4"/>
      <c r="B763" s="21">
        <v>44220</v>
      </c>
      <c r="C763" s="5">
        <f t="shared" si="22"/>
        <v>5</v>
      </c>
      <c r="D763" s="5">
        <f t="shared" si="23"/>
        <v>1</v>
      </c>
      <c r="E763" s="1" t="s">
        <v>7</v>
      </c>
      <c r="F763" s="1" t="s">
        <v>14</v>
      </c>
      <c r="G763">
        <v>47875</v>
      </c>
      <c r="H763">
        <v>100777</v>
      </c>
      <c r="I763" s="4"/>
      <c r="J763" s="22">
        <v>0.31111111111111112</v>
      </c>
      <c r="K763" s="22">
        <v>0.76111111111111107</v>
      </c>
      <c r="L763" s="4"/>
      <c r="M763" s="4"/>
      <c r="N763" t="s">
        <v>1637</v>
      </c>
      <c r="O763" s="4"/>
      <c r="P763" t="s">
        <v>704</v>
      </c>
      <c r="Q763">
        <v>31</v>
      </c>
    </row>
    <row r="764" spans="1:17" ht="14.25" customHeight="1" x14ac:dyDescent="0.25">
      <c r="A764" s="4"/>
      <c r="B764" s="21">
        <v>44220</v>
      </c>
      <c r="C764" s="5">
        <f t="shared" si="22"/>
        <v>5</v>
      </c>
      <c r="D764" s="5">
        <f t="shared" si="23"/>
        <v>1</v>
      </c>
      <c r="E764" s="1" t="s">
        <v>6</v>
      </c>
      <c r="F764" s="1" t="s">
        <v>12</v>
      </c>
      <c r="G764">
        <v>47875</v>
      </c>
      <c r="H764">
        <v>100778</v>
      </c>
      <c r="I764" s="4"/>
      <c r="J764" s="22">
        <v>0.37083333333333335</v>
      </c>
      <c r="K764" s="22">
        <v>0.60416666666666663</v>
      </c>
      <c r="L764" s="4"/>
      <c r="M764" s="4"/>
      <c r="N764" t="s">
        <v>1638</v>
      </c>
      <c r="O764" s="4"/>
      <c r="P764" t="s">
        <v>705</v>
      </c>
      <c r="Q764">
        <v>28</v>
      </c>
    </row>
    <row r="765" spans="1:17" ht="14.25" customHeight="1" x14ac:dyDescent="0.25">
      <c r="A765" s="4"/>
      <c r="B765" s="21">
        <v>44220</v>
      </c>
      <c r="C765" s="5">
        <f t="shared" si="22"/>
        <v>5</v>
      </c>
      <c r="D765" s="5">
        <f t="shared" si="23"/>
        <v>1</v>
      </c>
      <c r="E765" s="1" t="s">
        <v>6</v>
      </c>
      <c r="F765" s="1" t="s">
        <v>13</v>
      </c>
      <c r="G765">
        <v>47876</v>
      </c>
      <c r="H765">
        <v>100781</v>
      </c>
      <c r="I765" s="4"/>
      <c r="J765" s="22">
        <v>0.31388888888888888</v>
      </c>
      <c r="K765" s="22">
        <v>0.10972222222222222</v>
      </c>
      <c r="L765" s="4"/>
      <c r="M765" s="4"/>
      <c r="N765" t="s">
        <v>1639</v>
      </c>
      <c r="O765" s="4"/>
      <c r="P765" t="s">
        <v>706</v>
      </c>
      <c r="Q765">
        <v>15</v>
      </c>
    </row>
    <row r="766" spans="1:17" ht="14.25" customHeight="1" x14ac:dyDescent="0.25">
      <c r="A766" s="4"/>
      <c r="B766" s="21">
        <v>44220</v>
      </c>
      <c r="C766" s="5">
        <f t="shared" si="22"/>
        <v>5</v>
      </c>
      <c r="D766" s="5">
        <f t="shared" si="23"/>
        <v>1</v>
      </c>
      <c r="E766" s="1" t="s">
        <v>5</v>
      </c>
      <c r="F766" s="1" t="s">
        <v>19</v>
      </c>
      <c r="G766">
        <v>47877</v>
      </c>
      <c r="H766">
        <v>100782</v>
      </c>
      <c r="I766" s="4"/>
      <c r="J766" s="22">
        <v>0.48819444444444443</v>
      </c>
      <c r="K766" s="22">
        <v>0.94652777777777775</v>
      </c>
      <c r="L766" s="4"/>
      <c r="M766" s="4"/>
      <c r="N766" t="s">
        <v>1640</v>
      </c>
      <c r="O766" s="4"/>
      <c r="P766" t="s">
        <v>707</v>
      </c>
      <c r="Q766">
        <v>29</v>
      </c>
    </row>
    <row r="767" spans="1:17" ht="14.25" customHeight="1" x14ac:dyDescent="0.25">
      <c r="A767" s="4"/>
      <c r="B767" s="21">
        <v>44220</v>
      </c>
      <c r="C767" s="5">
        <f t="shared" si="22"/>
        <v>5</v>
      </c>
      <c r="D767" s="5">
        <f t="shared" si="23"/>
        <v>1</v>
      </c>
      <c r="E767" s="1" t="s">
        <v>7</v>
      </c>
      <c r="F767" s="1" t="s">
        <v>15</v>
      </c>
      <c r="G767">
        <v>47877</v>
      </c>
      <c r="H767">
        <v>100782</v>
      </c>
      <c r="I767" s="4"/>
      <c r="J767" s="22">
        <v>0.25625000000000003</v>
      </c>
      <c r="K767" s="22">
        <v>0.4291666666666667</v>
      </c>
      <c r="L767" s="4"/>
      <c r="M767" s="4"/>
      <c r="N767" t="s">
        <v>1641</v>
      </c>
      <c r="O767" s="4"/>
      <c r="P767" t="s">
        <v>471</v>
      </c>
      <c r="Q767">
        <v>18</v>
      </c>
    </row>
    <row r="768" spans="1:17" ht="14.25" customHeight="1" x14ac:dyDescent="0.25">
      <c r="A768" s="4"/>
      <c r="B768" s="21">
        <v>44220</v>
      </c>
      <c r="C768" s="5">
        <f t="shared" si="22"/>
        <v>5</v>
      </c>
      <c r="D768" s="5">
        <f t="shared" si="23"/>
        <v>1</v>
      </c>
      <c r="E768" s="1" t="s">
        <v>6</v>
      </c>
      <c r="F768" s="1" t="s">
        <v>13</v>
      </c>
      <c r="G768">
        <v>47877</v>
      </c>
      <c r="H768">
        <v>100784</v>
      </c>
      <c r="I768" s="4"/>
      <c r="J768" s="22">
        <v>0.42152777777777778</v>
      </c>
      <c r="K768" s="22">
        <v>0.78194444444444444</v>
      </c>
      <c r="L768" s="4"/>
      <c r="M768" s="4"/>
      <c r="N768" t="s">
        <v>1642</v>
      </c>
      <c r="O768" s="4"/>
      <c r="P768" t="s">
        <v>708</v>
      </c>
      <c r="Q768">
        <v>8</v>
      </c>
    </row>
    <row r="769" spans="1:17" ht="14.25" customHeight="1" x14ac:dyDescent="0.25">
      <c r="A769" s="4"/>
      <c r="B769" s="21">
        <v>44220</v>
      </c>
      <c r="C769" s="5">
        <f t="shared" si="22"/>
        <v>5</v>
      </c>
      <c r="D769" s="5">
        <f t="shared" si="23"/>
        <v>1</v>
      </c>
      <c r="E769" s="1" t="s">
        <v>7</v>
      </c>
      <c r="F769" s="1" t="s">
        <v>16</v>
      </c>
      <c r="G769">
        <v>47877</v>
      </c>
      <c r="H769">
        <v>100785</v>
      </c>
      <c r="I769" s="4"/>
      <c r="J769" s="22">
        <v>0.4513888888888889</v>
      </c>
      <c r="K769" s="22">
        <v>0.28472222222222221</v>
      </c>
      <c r="L769" s="4"/>
      <c r="M769" s="4"/>
      <c r="N769" t="s">
        <v>1643</v>
      </c>
      <c r="O769" s="4"/>
      <c r="P769" t="s">
        <v>709</v>
      </c>
      <c r="Q769">
        <v>14</v>
      </c>
    </row>
    <row r="770" spans="1:17" ht="14.25" customHeight="1" x14ac:dyDescent="0.25">
      <c r="A770" s="4"/>
      <c r="B770" s="21">
        <v>44220</v>
      </c>
      <c r="C770" s="5">
        <f t="shared" si="22"/>
        <v>5</v>
      </c>
      <c r="D770" s="5">
        <f t="shared" si="23"/>
        <v>1</v>
      </c>
      <c r="E770" s="1" t="s">
        <v>5</v>
      </c>
      <c r="F770" s="1" t="s">
        <v>18</v>
      </c>
      <c r="G770">
        <v>47877</v>
      </c>
      <c r="H770">
        <v>100786</v>
      </c>
      <c r="I770" s="4"/>
      <c r="J770" s="22">
        <v>0.26250000000000001</v>
      </c>
      <c r="K770" s="22">
        <v>0.15833333333333333</v>
      </c>
      <c r="L770" s="4"/>
      <c r="M770" s="4"/>
      <c r="N770" t="s">
        <v>1644</v>
      </c>
      <c r="O770" s="4"/>
      <c r="P770" t="s">
        <v>180</v>
      </c>
      <c r="Q770">
        <v>23</v>
      </c>
    </row>
    <row r="771" spans="1:17" ht="14.25" customHeight="1" x14ac:dyDescent="0.25">
      <c r="A771" s="4"/>
      <c r="B771" s="21">
        <v>44220</v>
      </c>
      <c r="C771" s="5">
        <f t="shared" ref="C771:C834" si="24">WEEKNUM(B771)</f>
        <v>5</v>
      </c>
      <c r="D771" s="5">
        <f t="shared" ref="D771:D834" si="25">WEEKDAY(B771)</f>
        <v>1</v>
      </c>
      <c r="E771" s="1" t="s">
        <v>5</v>
      </c>
      <c r="F771" s="1" t="s">
        <v>19</v>
      </c>
      <c r="G771">
        <v>47878</v>
      </c>
      <c r="H771">
        <v>100786</v>
      </c>
      <c r="I771" s="4"/>
      <c r="J771" s="22">
        <v>0.47500000000000003</v>
      </c>
      <c r="K771" s="22">
        <v>0.3833333333333333</v>
      </c>
      <c r="L771" s="4"/>
      <c r="M771" s="4"/>
      <c r="N771" t="s">
        <v>1645</v>
      </c>
      <c r="O771" s="4"/>
      <c r="P771" t="s">
        <v>710</v>
      </c>
      <c r="Q771">
        <v>5</v>
      </c>
    </row>
    <row r="772" spans="1:17" ht="14.25" customHeight="1" x14ac:dyDescent="0.25">
      <c r="A772" s="4"/>
      <c r="B772" s="21">
        <v>44220</v>
      </c>
      <c r="C772" s="5">
        <f t="shared" si="24"/>
        <v>5</v>
      </c>
      <c r="D772" s="5">
        <f t="shared" si="25"/>
        <v>1</v>
      </c>
      <c r="E772" s="1" t="s">
        <v>7</v>
      </c>
      <c r="F772" s="1" t="s">
        <v>15</v>
      </c>
      <c r="G772">
        <v>47879</v>
      </c>
      <c r="H772">
        <v>100787</v>
      </c>
      <c r="I772" s="4"/>
      <c r="J772" s="22">
        <v>0.25694444444444448</v>
      </c>
      <c r="K772" s="22">
        <v>0.71805555555555556</v>
      </c>
      <c r="L772" s="4"/>
      <c r="M772" s="4"/>
      <c r="N772" t="s">
        <v>1646</v>
      </c>
      <c r="O772" s="4"/>
      <c r="P772" t="s">
        <v>711</v>
      </c>
      <c r="Q772">
        <v>13</v>
      </c>
    </row>
    <row r="773" spans="1:17" ht="14.25" customHeight="1" x14ac:dyDescent="0.25">
      <c r="A773" s="4"/>
      <c r="B773" s="21">
        <v>44220</v>
      </c>
      <c r="C773" s="5">
        <f t="shared" si="24"/>
        <v>5</v>
      </c>
      <c r="D773" s="5">
        <f t="shared" si="25"/>
        <v>1</v>
      </c>
      <c r="E773" s="1" t="s">
        <v>6</v>
      </c>
      <c r="F773" s="1" t="s">
        <v>12</v>
      </c>
      <c r="G773">
        <v>47880</v>
      </c>
      <c r="H773">
        <v>100790</v>
      </c>
      <c r="I773" s="4"/>
      <c r="J773" s="22">
        <v>0.3430555555555555</v>
      </c>
      <c r="K773" s="22">
        <v>0.12916666666666668</v>
      </c>
      <c r="L773" s="4"/>
      <c r="M773" s="4"/>
      <c r="N773" t="s">
        <v>1647</v>
      </c>
      <c r="O773" s="4"/>
      <c r="P773" t="s">
        <v>712</v>
      </c>
      <c r="Q773">
        <v>7</v>
      </c>
    </row>
    <row r="774" spans="1:17" ht="14.25" customHeight="1" x14ac:dyDescent="0.25">
      <c r="A774" s="4"/>
      <c r="B774" s="21">
        <v>44220</v>
      </c>
      <c r="C774" s="5">
        <f t="shared" si="24"/>
        <v>5</v>
      </c>
      <c r="D774" s="5">
        <f t="shared" si="25"/>
        <v>1</v>
      </c>
      <c r="E774" s="1" t="s">
        <v>6</v>
      </c>
      <c r="F774" s="1" t="s">
        <v>13</v>
      </c>
      <c r="G774">
        <v>47880</v>
      </c>
      <c r="H774">
        <v>100790</v>
      </c>
      <c r="I774" s="4"/>
      <c r="J774" s="22">
        <v>0.27083333333333331</v>
      </c>
      <c r="K774" s="22">
        <v>0.53194444444444444</v>
      </c>
      <c r="L774" s="4"/>
      <c r="M774" s="4"/>
      <c r="N774" t="s">
        <v>1648</v>
      </c>
      <c r="O774" s="4"/>
      <c r="P774" t="s">
        <v>713</v>
      </c>
      <c r="Q774">
        <v>15</v>
      </c>
    </row>
    <row r="775" spans="1:17" ht="14.25" customHeight="1" x14ac:dyDescent="0.25">
      <c r="A775" s="4"/>
      <c r="B775" s="21">
        <v>44220</v>
      </c>
      <c r="C775" s="5">
        <f t="shared" si="24"/>
        <v>5</v>
      </c>
      <c r="D775" s="5">
        <f t="shared" si="25"/>
        <v>1</v>
      </c>
      <c r="E775" s="1" t="s">
        <v>7</v>
      </c>
      <c r="F775" s="1" t="s">
        <v>15</v>
      </c>
      <c r="G775">
        <v>47882</v>
      </c>
      <c r="H775">
        <v>100790</v>
      </c>
      <c r="I775" s="4"/>
      <c r="J775" s="22">
        <v>0.33055555555555555</v>
      </c>
      <c r="K775" s="22">
        <v>0.76388888888888884</v>
      </c>
      <c r="L775" s="4"/>
      <c r="M775" s="4"/>
      <c r="N775" t="s">
        <v>1649</v>
      </c>
      <c r="O775" s="4"/>
      <c r="P775" t="s">
        <v>644</v>
      </c>
      <c r="Q775">
        <v>31</v>
      </c>
    </row>
    <row r="776" spans="1:17" ht="14.25" customHeight="1" x14ac:dyDescent="0.25">
      <c r="A776" s="4"/>
      <c r="B776" s="21">
        <v>44220</v>
      </c>
      <c r="C776" s="5">
        <f t="shared" si="24"/>
        <v>5</v>
      </c>
      <c r="D776" s="5">
        <f t="shared" si="25"/>
        <v>1</v>
      </c>
      <c r="E776" s="1" t="s">
        <v>5</v>
      </c>
      <c r="F776" s="1" t="s">
        <v>17</v>
      </c>
      <c r="G776">
        <v>47885</v>
      </c>
      <c r="H776">
        <v>100790</v>
      </c>
      <c r="I776" s="4"/>
      <c r="J776" s="22">
        <v>0.4513888888888889</v>
      </c>
      <c r="K776" s="22">
        <v>0.13819444444444443</v>
      </c>
      <c r="L776" s="4"/>
      <c r="M776" s="4"/>
      <c r="N776" t="s">
        <v>1650</v>
      </c>
      <c r="O776" s="4"/>
      <c r="P776" t="s">
        <v>455</v>
      </c>
      <c r="Q776">
        <v>25</v>
      </c>
    </row>
    <row r="777" spans="1:17" ht="14.25" customHeight="1" x14ac:dyDescent="0.25">
      <c r="A777" s="4"/>
      <c r="B777" s="21">
        <v>44220</v>
      </c>
      <c r="C777" s="5">
        <f t="shared" si="24"/>
        <v>5</v>
      </c>
      <c r="D777" s="5">
        <f t="shared" si="25"/>
        <v>1</v>
      </c>
      <c r="E777" s="1" t="s">
        <v>5</v>
      </c>
      <c r="F777" s="1" t="s">
        <v>17</v>
      </c>
      <c r="G777">
        <v>47888</v>
      </c>
      <c r="H777">
        <v>100790</v>
      </c>
      <c r="I777" s="4"/>
      <c r="J777" s="22">
        <v>0.26319444444444445</v>
      </c>
      <c r="K777" s="22">
        <v>0.24930555555555556</v>
      </c>
      <c r="L777" s="4"/>
      <c r="M777" s="4"/>
      <c r="N777" t="s">
        <v>1651</v>
      </c>
      <c r="O777" s="4"/>
      <c r="P777" t="s">
        <v>714</v>
      </c>
      <c r="Q777">
        <v>25</v>
      </c>
    </row>
    <row r="778" spans="1:17" ht="14.25" customHeight="1" x14ac:dyDescent="0.25">
      <c r="A778" s="4"/>
      <c r="B778" s="21">
        <v>44220</v>
      </c>
      <c r="C778" s="5">
        <f t="shared" si="24"/>
        <v>5</v>
      </c>
      <c r="D778" s="5">
        <f t="shared" si="25"/>
        <v>1</v>
      </c>
      <c r="E778" s="1" t="s">
        <v>6</v>
      </c>
      <c r="F778" s="1" t="s">
        <v>11</v>
      </c>
      <c r="G778">
        <v>47889</v>
      </c>
      <c r="H778">
        <v>100791</v>
      </c>
      <c r="I778" s="4"/>
      <c r="J778" s="22">
        <v>0.29097222222222224</v>
      </c>
      <c r="K778" s="22">
        <v>0.23055555555555554</v>
      </c>
      <c r="L778" s="4"/>
      <c r="M778" s="4"/>
      <c r="N778" t="s">
        <v>1652</v>
      </c>
      <c r="O778" s="4"/>
      <c r="P778" t="s">
        <v>715</v>
      </c>
      <c r="Q778">
        <v>1</v>
      </c>
    </row>
    <row r="779" spans="1:17" ht="14.25" customHeight="1" x14ac:dyDescent="0.25">
      <c r="A779" s="4"/>
      <c r="B779" s="21">
        <v>44220</v>
      </c>
      <c r="C779" s="5">
        <f t="shared" si="24"/>
        <v>5</v>
      </c>
      <c r="D779" s="5">
        <f t="shared" si="25"/>
        <v>1</v>
      </c>
      <c r="E779" s="1" t="s">
        <v>5</v>
      </c>
      <c r="F779" s="1" t="s">
        <v>19</v>
      </c>
      <c r="G779">
        <v>47889</v>
      </c>
      <c r="H779">
        <v>100791</v>
      </c>
      <c r="I779" s="4"/>
      <c r="J779" s="22">
        <v>0.37013888888888885</v>
      </c>
      <c r="K779" s="22">
        <v>0.27569444444444446</v>
      </c>
      <c r="L779" s="4"/>
      <c r="M779" s="4"/>
      <c r="N779" t="s">
        <v>1653</v>
      </c>
      <c r="O779" s="4"/>
      <c r="P779" t="s">
        <v>716</v>
      </c>
      <c r="Q779">
        <v>27</v>
      </c>
    </row>
    <row r="780" spans="1:17" ht="14.25" customHeight="1" x14ac:dyDescent="0.25">
      <c r="A780" s="4"/>
      <c r="B780" s="21">
        <v>44220</v>
      </c>
      <c r="C780" s="5">
        <f t="shared" si="24"/>
        <v>5</v>
      </c>
      <c r="D780" s="5">
        <f t="shared" si="25"/>
        <v>1</v>
      </c>
      <c r="E780" s="1" t="s">
        <v>6</v>
      </c>
      <c r="F780" s="1" t="s">
        <v>11</v>
      </c>
      <c r="G780">
        <v>47893</v>
      </c>
      <c r="H780">
        <v>100792</v>
      </c>
      <c r="I780" s="4"/>
      <c r="J780" s="22">
        <v>0.33958333333333335</v>
      </c>
      <c r="K780" s="22">
        <v>0.21319444444444444</v>
      </c>
      <c r="L780" s="4"/>
      <c r="M780" s="4"/>
      <c r="N780" t="s">
        <v>1654</v>
      </c>
      <c r="O780" s="4"/>
      <c r="P780" t="s">
        <v>478</v>
      </c>
      <c r="Q780">
        <v>2</v>
      </c>
    </row>
    <row r="781" spans="1:17" ht="14.25" customHeight="1" x14ac:dyDescent="0.25">
      <c r="A781" s="4"/>
      <c r="B781" s="21">
        <v>44221</v>
      </c>
      <c r="C781" s="5">
        <f t="shared" si="24"/>
        <v>5</v>
      </c>
      <c r="D781" s="5">
        <f t="shared" si="25"/>
        <v>2</v>
      </c>
      <c r="E781" s="1" t="s">
        <v>5</v>
      </c>
      <c r="F781" s="1" t="s">
        <v>20</v>
      </c>
      <c r="G781">
        <v>47894</v>
      </c>
      <c r="H781">
        <v>100792</v>
      </c>
      <c r="I781" s="4"/>
      <c r="J781" s="22">
        <v>0.40833333333333338</v>
      </c>
      <c r="K781" s="22">
        <v>0.29097222222222224</v>
      </c>
      <c r="L781" s="4"/>
      <c r="M781" s="4"/>
      <c r="N781" t="s">
        <v>1655</v>
      </c>
      <c r="O781" s="4"/>
      <c r="P781" t="s">
        <v>717</v>
      </c>
      <c r="Q781">
        <v>15</v>
      </c>
    </row>
    <row r="782" spans="1:17" ht="14.25" customHeight="1" x14ac:dyDescent="0.25">
      <c r="A782" s="4"/>
      <c r="B782" s="21">
        <v>44221</v>
      </c>
      <c r="C782" s="5">
        <f t="shared" si="24"/>
        <v>5</v>
      </c>
      <c r="D782" s="5">
        <f t="shared" si="25"/>
        <v>2</v>
      </c>
      <c r="E782" s="1" t="s">
        <v>6</v>
      </c>
      <c r="F782" s="1" t="s">
        <v>12</v>
      </c>
      <c r="G782">
        <v>47894</v>
      </c>
      <c r="H782">
        <v>100792</v>
      </c>
      <c r="I782" s="4"/>
      <c r="J782" s="22">
        <v>0.42499999999999999</v>
      </c>
      <c r="K782" s="22">
        <v>0.9277777777777777</v>
      </c>
      <c r="L782" s="4"/>
      <c r="M782" s="4"/>
      <c r="N782" t="s">
        <v>1656</v>
      </c>
      <c r="O782" s="4"/>
      <c r="P782" t="s">
        <v>302</v>
      </c>
      <c r="Q782">
        <v>19</v>
      </c>
    </row>
    <row r="783" spans="1:17" ht="14.25" customHeight="1" x14ac:dyDescent="0.25">
      <c r="A783" s="4"/>
      <c r="B783" s="21">
        <v>44221</v>
      </c>
      <c r="C783" s="5">
        <f t="shared" si="24"/>
        <v>5</v>
      </c>
      <c r="D783" s="5">
        <f t="shared" si="25"/>
        <v>2</v>
      </c>
      <c r="E783" s="1" t="s">
        <v>7</v>
      </c>
      <c r="F783" s="1" t="s">
        <v>14</v>
      </c>
      <c r="G783">
        <v>47895</v>
      </c>
      <c r="H783">
        <v>100793</v>
      </c>
      <c r="I783" s="4"/>
      <c r="J783" s="22">
        <v>0.42986111111111108</v>
      </c>
      <c r="K783" s="22">
        <v>0.36874999999999997</v>
      </c>
      <c r="L783" s="4"/>
      <c r="M783" s="4"/>
      <c r="N783" t="s">
        <v>1657</v>
      </c>
      <c r="O783" s="4"/>
      <c r="P783" t="s">
        <v>66</v>
      </c>
      <c r="Q783">
        <v>3</v>
      </c>
    </row>
    <row r="784" spans="1:17" ht="14.25" customHeight="1" x14ac:dyDescent="0.25">
      <c r="A784" s="4"/>
      <c r="B784" s="21">
        <v>44221</v>
      </c>
      <c r="C784" s="5">
        <f t="shared" si="24"/>
        <v>5</v>
      </c>
      <c r="D784" s="5">
        <f t="shared" si="25"/>
        <v>2</v>
      </c>
      <c r="E784" s="1" t="s">
        <v>5</v>
      </c>
      <c r="F784" s="1" t="s">
        <v>19</v>
      </c>
      <c r="G784">
        <v>47895</v>
      </c>
      <c r="H784">
        <v>100794</v>
      </c>
      <c r="I784" s="4"/>
      <c r="J784" s="22">
        <v>0.37083333333333335</v>
      </c>
      <c r="K784" s="22">
        <v>0.45416666666666666</v>
      </c>
      <c r="L784" s="4"/>
      <c r="M784" s="4"/>
      <c r="N784" t="s">
        <v>1658</v>
      </c>
      <c r="O784" s="4"/>
      <c r="P784" t="s">
        <v>718</v>
      </c>
      <c r="Q784">
        <v>24</v>
      </c>
    </row>
    <row r="785" spans="1:17" ht="14.25" customHeight="1" x14ac:dyDescent="0.25">
      <c r="A785" s="4"/>
      <c r="B785" s="21">
        <v>44221</v>
      </c>
      <c r="C785" s="5">
        <f t="shared" si="24"/>
        <v>5</v>
      </c>
      <c r="D785" s="5">
        <f t="shared" si="25"/>
        <v>2</v>
      </c>
      <c r="E785" s="1" t="s">
        <v>5</v>
      </c>
      <c r="F785" s="1" t="s">
        <v>18</v>
      </c>
      <c r="G785">
        <v>47896</v>
      </c>
      <c r="H785">
        <v>100795</v>
      </c>
      <c r="I785" s="4"/>
      <c r="J785" s="22">
        <v>0.26597222222222222</v>
      </c>
      <c r="K785" s="22">
        <v>0.10069444444444443</v>
      </c>
      <c r="L785" s="4"/>
      <c r="M785" s="4"/>
      <c r="N785" t="s">
        <v>1659</v>
      </c>
      <c r="O785" s="4"/>
      <c r="P785" t="s">
        <v>412</v>
      </c>
      <c r="Q785">
        <v>13</v>
      </c>
    </row>
    <row r="786" spans="1:17" ht="14.25" customHeight="1" x14ac:dyDescent="0.25">
      <c r="A786" s="4"/>
      <c r="B786" s="21">
        <v>44221</v>
      </c>
      <c r="C786" s="5">
        <f t="shared" si="24"/>
        <v>5</v>
      </c>
      <c r="D786" s="5">
        <f t="shared" si="25"/>
        <v>2</v>
      </c>
      <c r="E786" s="1" t="s">
        <v>5</v>
      </c>
      <c r="F786" s="1" t="s">
        <v>18</v>
      </c>
      <c r="G786">
        <v>47900</v>
      </c>
      <c r="H786">
        <v>100795</v>
      </c>
      <c r="I786" s="4"/>
      <c r="J786" s="22">
        <v>0.43194444444444446</v>
      </c>
      <c r="K786" s="22">
        <v>8.9583333333333334E-2</v>
      </c>
      <c r="L786" s="4"/>
      <c r="M786" s="4"/>
      <c r="N786" t="s">
        <v>1660</v>
      </c>
      <c r="O786" s="4"/>
      <c r="P786" t="s">
        <v>719</v>
      </c>
      <c r="Q786">
        <v>12</v>
      </c>
    </row>
    <row r="787" spans="1:17" ht="14.25" customHeight="1" x14ac:dyDescent="0.25">
      <c r="A787" s="4"/>
      <c r="B787" s="21">
        <v>44221</v>
      </c>
      <c r="C787" s="5">
        <f t="shared" si="24"/>
        <v>5</v>
      </c>
      <c r="D787" s="5">
        <f t="shared" si="25"/>
        <v>2</v>
      </c>
      <c r="E787" s="1" t="s">
        <v>6</v>
      </c>
      <c r="F787" s="1" t="s">
        <v>13</v>
      </c>
      <c r="G787">
        <v>47900</v>
      </c>
      <c r="H787">
        <v>100796</v>
      </c>
      <c r="I787" s="4"/>
      <c r="J787" s="22">
        <v>0.26597222222222222</v>
      </c>
      <c r="K787" s="22">
        <v>0.5756944444444444</v>
      </c>
      <c r="L787" s="4"/>
      <c r="M787" s="4"/>
      <c r="N787" t="s">
        <v>1661</v>
      </c>
      <c r="O787" s="4"/>
      <c r="P787" t="s">
        <v>720</v>
      </c>
      <c r="Q787">
        <v>9</v>
      </c>
    </row>
    <row r="788" spans="1:17" ht="14.25" customHeight="1" x14ac:dyDescent="0.25">
      <c r="A788" s="4"/>
      <c r="B788" s="21">
        <v>44221</v>
      </c>
      <c r="C788" s="5">
        <f t="shared" si="24"/>
        <v>5</v>
      </c>
      <c r="D788" s="5">
        <f t="shared" si="25"/>
        <v>2</v>
      </c>
      <c r="E788" s="1" t="s">
        <v>5</v>
      </c>
      <c r="F788" s="1" t="s">
        <v>17</v>
      </c>
      <c r="G788">
        <v>47901</v>
      </c>
      <c r="H788">
        <v>100796</v>
      </c>
      <c r="I788" s="4"/>
      <c r="J788" s="22">
        <v>0.32708333333333334</v>
      </c>
      <c r="K788" s="22">
        <v>0.70208333333333339</v>
      </c>
      <c r="L788" s="4"/>
      <c r="M788" s="4"/>
      <c r="N788" t="s">
        <v>1662</v>
      </c>
      <c r="O788" s="4"/>
      <c r="P788" t="s">
        <v>721</v>
      </c>
      <c r="Q788">
        <v>33</v>
      </c>
    </row>
    <row r="789" spans="1:17" ht="14.25" customHeight="1" x14ac:dyDescent="0.25">
      <c r="A789" s="4"/>
      <c r="B789" s="21">
        <v>44221</v>
      </c>
      <c r="C789" s="5">
        <f t="shared" si="24"/>
        <v>5</v>
      </c>
      <c r="D789" s="5">
        <f t="shared" si="25"/>
        <v>2</v>
      </c>
      <c r="E789" s="1" t="s">
        <v>5</v>
      </c>
      <c r="F789" s="1" t="s">
        <v>19</v>
      </c>
      <c r="G789">
        <v>47901</v>
      </c>
      <c r="H789">
        <v>100797</v>
      </c>
      <c r="I789" s="4"/>
      <c r="J789" s="22">
        <v>0.28541666666666665</v>
      </c>
      <c r="K789" s="22">
        <v>0.19097222222222221</v>
      </c>
      <c r="L789" s="4"/>
      <c r="M789" s="4"/>
      <c r="N789" t="s">
        <v>1663</v>
      </c>
      <c r="O789" s="4"/>
      <c r="P789" t="s">
        <v>394</v>
      </c>
      <c r="Q789">
        <v>13</v>
      </c>
    </row>
    <row r="790" spans="1:17" ht="14.25" customHeight="1" x14ac:dyDescent="0.25">
      <c r="A790" s="4"/>
      <c r="B790" s="21">
        <v>44221</v>
      </c>
      <c r="C790" s="5">
        <f t="shared" si="24"/>
        <v>5</v>
      </c>
      <c r="D790" s="5">
        <f t="shared" si="25"/>
        <v>2</v>
      </c>
      <c r="E790" s="1" t="s">
        <v>5</v>
      </c>
      <c r="F790" s="1" t="s">
        <v>19</v>
      </c>
      <c r="G790">
        <v>47901</v>
      </c>
      <c r="H790">
        <v>100798</v>
      </c>
      <c r="I790" s="4"/>
      <c r="J790" s="22">
        <v>0.27430555555555552</v>
      </c>
      <c r="K790" s="22">
        <v>0.31736111111111115</v>
      </c>
      <c r="L790" s="4"/>
      <c r="M790" s="4"/>
      <c r="N790" t="s">
        <v>1664</v>
      </c>
      <c r="O790" s="4"/>
      <c r="P790" t="s">
        <v>722</v>
      </c>
      <c r="Q790">
        <v>18</v>
      </c>
    </row>
    <row r="791" spans="1:17" ht="14.25" customHeight="1" x14ac:dyDescent="0.25">
      <c r="A791" s="4"/>
      <c r="B791" s="21">
        <v>44221</v>
      </c>
      <c r="C791" s="5">
        <f t="shared" si="24"/>
        <v>5</v>
      </c>
      <c r="D791" s="5">
        <f t="shared" si="25"/>
        <v>2</v>
      </c>
      <c r="E791" s="1" t="s">
        <v>7</v>
      </c>
      <c r="F791" s="1" t="s">
        <v>15</v>
      </c>
      <c r="G791">
        <v>47902</v>
      </c>
      <c r="H791">
        <v>100799</v>
      </c>
      <c r="I791" s="4"/>
      <c r="J791" s="22">
        <v>0.45763888888888887</v>
      </c>
      <c r="K791" s="22">
        <v>0.33402777777777781</v>
      </c>
      <c r="L791" s="4"/>
      <c r="M791" s="4"/>
      <c r="N791" t="s">
        <v>1665</v>
      </c>
      <c r="O791" s="4"/>
      <c r="P791" t="s">
        <v>723</v>
      </c>
      <c r="Q791">
        <v>1</v>
      </c>
    </row>
    <row r="792" spans="1:17" ht="14.25" customHeight="1" x14ac:dyDescent="0.25">
      <c r="A792" s="4"/>
      <c r="B792" s="21">
        <v>44221</v>
      </c>
      <c r="C792" s="5">
        <f t="shared" si="24"/>
        <v>5</v>
      </c>
      <c r="D792" s="5">
        <f t="shared" si="25"/>
        <v>2</v>
      </c>
      <c r="E792" s="1" t="s">
        <v>5</v>
      </c>
      <c r="F792" s="1" t="s">
        <v>17</v>
      </c>
      <c r="G792">
        <v>47902</v>
      </c>
      <c r="H792">
        <v>100800</v>
      </c>
      <c r="I792" s="4"/>
      <c r="J792" s="22">
        <v>0.26111111111111113</v>
      </c>
      <c r="K792" s="22">
        <v>0.4694444444444445</v>
      </c>
      <c r="L792" s="4"/>
      <c r="M792" s="4"/>
      <c r="N792" t="s">
        <v>1666</v>
      </c>
      <c r="O792" s="4"/>
      <c r="P792" t="s">
        <v>724</v>
      </c>
      <c r="Q792">
        <v>20</v>
      </c>
    </row>
    <row r="793" spans="1:17" ht="14.25" customHeight="1" x14ac:dyDescent="0.25">
      <c r="A793" s="4"/>
      <c r="B793" s="21">
        <v>44221</v>
      </c>
      <c r="C793" s="5">
        <f t="shared" si="24"/>
        <v>5</v>
      </c>
      <c r="D793" s="5">
        <f t="shared" si="25"/>
        <v>2</v>
      </c>
      <c r="E793" s="1" t="s">
        <v>5</v>
      </c>
      <c r="F793" s="1" t="s">
        <v>17</v>
      </c>
      <c r="G793">
        <v>47904</v>
      </c>
      <c r="H793">
        <v>100801</v>
      </c>
      <c r="I793" s="4"/>
      <c r="J793" s="22">
        <v>0.28750000000000003</v>
      </c>
      <c r="K793" s="22">
        <v>0.53611111111111109</v>
      </c>
      <c r="L793" s="4"/>
      <c r="M793" s="4"/>
      <c r="N793" t="s">
        <v>1667</v>
      </c>
      <c r="O793" s="4"/>
      <c r="P793" t="s">
        <v>317</v>
      </c>
      <c r="Q793">
        <v>21</v>
      </c>
    </row>
    <row r="794" spans="1:17" ht="14.25" customHeight="1" x14ac:dyDescent="0.25">
      <c r="A794" s="4"/>
      <c r="B794" s="21">
        <v>44221</v>
      </c>
      <c r="C794" s="5">
        <f t="shared" si="24"/>
        <v>5</v>
      </c>
      <c r="D794" s="5">
        <f t="shared" si="25"/>
        <v>2</v>
      </c>
      <c r="E794" s="1" t="s">
        <v>6</v>
      </c>
      <c r="F794" s="1" t="s">
        <v>13</v>
      </c>
      <c r="G794">
        <v>47906</v>
      </c>
      <c r="H794">
        <v>100801</v>
      </c>
      <c r="I794" s="4"/>
      <c r="J794" s="22">
        <v>0.30208333333333331</v>
      </c>
      <c r="K794" s="22">
        <v>0.55486111111111114</v>
      </c>
      <c r="L794" s="4"/>
      <c r="M794" s="4"/>
      <c r="N794" t="s">
        <v>1668</v>
      </c>
      <c r="O794" s="4"/>
      <c r="P794" t="s">
        <v>725</v>
      </c>
      <c r="Q794">
        <v>1</v>
      </c>
    </row>
    <row r="795" spans="1:17" ht="14.25" customHeight="1" x14ac:dyDescent="0.25">
      <c r="A795" s="4"/>
      <c r="B795" s="21">
        <v>44221</v>
      </c>
      <c r="C795" s="5">
        <f t="shared" si="24"/>
        <v>5</v>
      </c>
      <c r="D795" s="5">
        <f t="shared" si="25"/>
        <v>2</v>
      </c>
      <c r="E795" s="1" t="s">
        <v>7</v>
      </c>
      <c r="F795" s="1" t="s">
        <v>16</v>
      </c>
      <c r="G795">
        <v>47907</v>
      </c>
      <c r="H795">
        <v>100803</v>
      </c>
      <c r="I795" s="4"/>
      <c r="J795" s="22">
        <v>0.3354166666666667</v>
      </c>
      <c r="K795" s="22">
        <v>0.87638888888888899</v>
      </c>
      <c r="L795" s="4"/>
      <c r="M795" s="4"/>
      <c r="N795" t="s">
        <v>1669</v>
      </c>
      <c r="O795" s="4"/>
      <c r="P795" t="s">
        <v>726</v>
      </c>
      <c r="Q795">
        <v>20</v>
      </c>
    </row>
    <row r="796" spans="1:17" ht="14.25" customHeight="1" x14ac:dyDescent="0.25">
      <c r="A796" s="4"/>
      <c r="B796" s="21">
        <v>44221</v>
      </c>
      <c r="C796" s="5">
        <f t="shared" si="24"/>
        <v>5</v>
      </c>
      <c r="D796" s="5">
        <f t="shared" si="25"/>
        <v>2</v>
      </c>
      <c r="E796" s="1" t="s">
        <v>6</v>
      </c>
      <c r="F796" s="1" t="s">
        <v>12</v>
      </c>
      <c r="G796">
        <v>47909</v>
      </c>
      <c r="H796">
        <v>100804</v>
      </c>
      <c r="I796" s="4"/>
      <c r="J796" s="22">
        <v>0.30555555555555552</v>
      </c>
      <c r="K796" s="22">
        <v>0.83611111111111114</v>
      </c>
      <c r="L796" s="4"/>
      <c r="M796" s="4"/>
      <c r="N796" t="s">
        <v>1670</v>
      </c>
      <c r="O796" s="4"/>
      <c r="P796" t="s">
        <v>727</v>
      </c>
      <c r="Q796">
        <v>21</v>
      </c>
    </row>
    <row r="797" spans="1:17" ht="14.25" customHeight="1" x14ac:dyDescent="0.25">
      <c r="A797" s="4"/>
      <c r="B797" s="21">
        <v>44221</v>
      </c>
      <c r="C797" s="5">
        <f t="shared" si="24"/>
        <v>5</v>
      </c>
      <c r="D797" s="5">
        <f t="shared" si="25"/>
        <v>2</v>
      </c>
      <c r="E797" s="1" t="s">
        <v>6</v>
      </c>
      <c r="F797" s="1" t="s">
        <v>11</v>
      </c>
      <c r="G797">
        <v>47909</v>
      </c>
      <c r="H797">
        <v>100805</v>
      </c>
      <c r="I797" s="4"/>
      <c r="J797" s="22">
        <v>0.35000000000000003</v>
      </c>
      <c r="K797" s="22">
        <v>0.85833333333333339</v>
      </c>
      <c r="L797" s="4"/>
      <c r="M797" s="4"/>
      <c r="N797" t="s">
        <v>1671</v>
      </c>
      <c r="O797" s="4"/>
      <c r="P797" t="s">
        <v>728</v>
      </c>
      <c r="Q797">
        <v>10</v>
      </c>
    </row>
    <row r="798" spans="1:17" ht="14.25" customHeight="1" x14ac:dyDescent="0.25">
      <c r="A798" s="4"/>
      <c r="B798" s="21">
        <v>44221</v>
      </c>
      <c r="C798" s="5">
        <f t="shared" si="24"/>
        <v>5</v>
      </c>
      <c r="D798" s="5">
        <f t="shared" si="25"/>
        <v>2</v>
      </c>
      <c r="E798" s="1" t="s">
        <v>5</v>
      </c>
      <c r="F798" s="1" t="s">
        <v>19</v>
      </c>
      <c r="G798">
        <v>47910</v>
      </c>
      <c r="H798">
        <v>100805</v>
      </c>
      <c r="I798" s="4"/>
      <c r="J798" s="22">
        <v>0.40486111111111112</v>
      </c>
      <c r="K798" s="22">
        <v>0.19305555555555554</v>
      </c>
      <c r="L798" s="4"/>
      <c r="M798" s="4"/>
      <c r="N798" t="s">
        <v>1672</v>
      </c>
      <c r="O798" s="4"/>
      <c r="P798" t="s">
        <v>729</v>
      </c>
      <c r="Q798">
        <v>22</v>
      </c>
    </row>
    <row r="799" spans="1:17" ht="14.25" customHeight="1" x14ac:dyDescent="0.25">
      <c r="A799" s="4"/>
      <c r="B799" s="21">
        <v>44221</v>
      </c>
      <c r="C799" s="5">
        <f t="shared" si="24"/>
        <v>5</v>
      </c>
      <c r="D799" s="5">
        <f t="shared" si="25"/>
        <v>2</v>
      </c>
      <c r="E799" s="1" t="s">
        <v>7</v>
      </c>
      <c r="F799" s="1" t="s">
        <v>14</v>
      </c>
      <c r="G799">
        <v>47910</v>
      </c>
      <c r="H799">
        <v>100806</v>
      </c>
      <c r="I799" s="4"/>
      <c r="J799" s="22">
        <v>0.2986111111111111</v>
      </c>
      <c r="K799" s="22">
        <v>9.7222222222222224E-2</v>
      </c>
      <c r="L799" s="4"/>
      <c r="M799" s="4"/>
      <c r="N799" t="s">
        <v>1673</v>
      </c>
      <c r="O799" s="4"/>
      <c r="P799" t="s">
        <v>730</v>
      </c>
      <c r="Q799">
        <v>21</v>
      </c>
    </row>
    <row r="800" spans="1:17" ht="14.25" customHeight="1" x14ac:dyDescent="0.25">
      <c r="A800" s="4"/>
      <c r="B800" s="21">
        <v>44221</v>
      </c>
      <c r="C800" s="5">
        <f t="shared" si="24"/>
        <v>5</v>
      </c>
      <c r="D800" s="5">
        <f t="shared" si="25"/>
        <v>2</v>
      </c>
      <c r="E800" s="1" t="s">
        <v>7</v>
      </c>
      <c r="F800" s="1" t="s">
        <v>16</v>
      </c>
      <c r="G800">
        <v>47911</v>
      </c>
      <c r="H800">
        <v>100806</v>
      </c>
      <c r="I800" s="4"/>
      <c r="J800" s="22">
        <v>0.44305555555555554</v>
      </c>
      <c r="K800" s="22">
        <v>0.28333333333333333</v>
      </c>
      <c r="L800" s="4"/>
      <c r="M800" s="4"/>
      <c r="N800" t="s">
        <v>1674</v>
      </c>
      <c r="O800" s="4"/>
      <c r="P800" t="s">
        <v>350</v>
      </c>
      <c r="Q800">
        <v>10</v>
      </c>
    </row>
    <row r="801" spans="1:17" ht="14.25" customHeight="1" x14ac:dyDescent="0.25">
      <c r="A801" s="4"/>
      <c r="B801" s="21">
        <v>44221</v>
      </c>
      <c r="C801" s="5">
        <f t="shared" si="24"/>
        <v>5</v>
      </c>
      <c r="D801" s="5">
        <f t="shared" si="25"/>
        <v>2</v>
      </c>
      <c r="E801" s="1" t="s">
        <v>6</v>
      </c>
      <c r="F801" s="1" t="s">
        <v>13</v>
      </c>
      <c r="G801">
        <v>47912</v>
      </c>
      <c r="H801">
        <v>100807</v>
      </c>
      <c r="I801" s="4"/>
      <c r="J801" s="22">
        <v>0.49652777777777773</v>
      </c>
      <c r="K801" s="22">
        <v>0.30902777777777779</v>
      </c>
      <c r="L801" s="4"/>
      <c r="M801" s="4"/>
      <c r="N801" t="s">
        <v>1675</v>
      </c>
      <c r="O801" s="4"/>
      <c r="P801" t="s">
        <v>731</v>
      </c>
      <c r="Q801">
        <v>7</v>
      </c>
    </row>
    <row r="802" spans="1:17" ht="14.25" customHeight="1" x14ac:dyDescent="0.25">
      <c r="A802" s="4"/>
      <c r="B802" s="21">
        <v>44221</v>
      </c>
      <c r="C802" s="5">
        <f t="shared" si="24"/>
        <v>5</v>
      </c>
      <c r="D802" s="5">
        <f t="shared" si="25"/>
        <v>2</v>
      </c>
      <c r="E802" s="1" t="s">
        <v>6</v>
      </c>
      <c r="F802" s="1" t="s">
        <v>11</v>
      </c>
      <c r="G802">
        <v>47913</v>
      </c>
      <c r="H802">
        <v>100808</v>
      </c>
      <c r="I802" s="4"/>
      <c r="J802" s="22">
        <v>0.44097222222222227</v>
      </c>
      <c r="K802" s="22">
        <v>0.22152777777777777</v>
      </c>
      <c r="L802" s="4"/>
      <c r="M802" s="4"/>
      <c r="N802" t="s">
        <v>1676</v>
      </c>
      <c r="O802" s="4"/>
      <c r="P802" t="s">
        <v>251</v>
      </c>
      <c r="Q802">
        <v>26</v>
      </c>
    </row>
    <row r="803" spans="1:17" ht="14.25" customHeight="1" x14ac:dyDescent="0.25">
      <c r="A803" s="4"/>
      <c r="B803" s="21">
        <v>44221</v>
      </c>
      <c r="C803" s="5">
        <f t="shared" si="24"/>
        <v>5</v>
      </c>
      <c r="D803" s="5">
        <f t="shared" si="25"/>
        <v>2</v>
      </c>
      <c r="E803" s="1" t="s">
        <v>7</v>
      </c>
      <c r="F803" s="1" t="s">
        <v>16</v>
      </c>
      <c r="G803">
        <v>47915</v>
      </c>
      <c r="H803">
        <v>100808</v>
      </c>
      <c r="I803" s="4"/>
      <c r="J803" s="22">
        <v>0.43472222222222223</v>
      </c>
      <c r="K803" s="22">
        <v>0.23611111111111113</v>
      </c>
      <c r="L803" s="4"/>
      <c r="M803" s="4"/>
      <c r="N803" t="s">
        <v>1677</v>
      </c>
      <c r="O803" s="4"/>
      <c r="P803" t="s">
        <v>72</v>
      </c>
      <c r="Q803">
        <v>2</v>
      </c>
    </row>
    <row r="804" spans="1:17" ht="14.25" customHeight="1" x14ac:dyDescent="0.25">
      <c r="A804" s="4"/>
      <c r="B804" s="21">
        <v>44221</v>
      </c>
      <c r="C804" s="5">
        <f t="shared" si="24"/>
        <v>5</v>
      </c>
      <c r="D804" s="5">
        <f t="shared" si="25"/>
        <v>2</v>
      </c>
      <c r="E804" s="1" t="s">
        <v>6</v>
      </c>
      <c r="F804" s="1" t="s">
        <v>11</v>
      </c>
      <c r="G804">
        <v>47916</v>
      </c>
      <c r="H804">
        <v>100808</v>
      </c>
      <c r="I804" s="4"/>
      <c r="J804" s="22">
        <v>0.33124999999999999</v>
      </c>
      <c r="K804" s="22">
        <v>0.92708333333333337</v>
      </c>
      <c r="L804" s="4"/>
      <c r="M804" s="4"/>
      <c r="N804" t="s">
        <v>1678</v>
      </c>
      <c r="O804" s="4"/>
      <c r="P804" t="s">
        <v>732</v>
      </c>
      <c r="Q804">
        <v>1</v>
      </c>
    </row>
    <row r="805" spans="1:17" ht="14.25" customHeight="1" x14ac:dyDescent="0.25">
      <c r="A805" s="4"/>
      <c r="B805" s="21">
        <v>44221</v>
      </c>
      <c r="C805" s="5">
        <f t="shared" si="24"/>
        <v>5</v>
      </c>
      <c r="D805" s="5">
        <f t="shared" si="25"/>
        <v>2</v>
      </c>
      <c r="E805" s="1" t="s">
        <v>7</v>
      </c>
      <c r="F805" s="1" t="s">
        <v>15</v>
      </c>
      <c r="G805">
        <v>47918</v>
      </c>
      <c r="H805">
        <v>100808</v>
      </c>
      <c r="I805" s="4"/>
      <c r="J805" s="22">
        <v>0.26597222222222222</v>
      </c>
      <c r="K805" s="22">
        <v>0.93263888888888891</v>
      </c>
      <c r="L805" s="4"/>
      <c r="M805" s="4"/>
      <c r="N805" t="s">
        <v>1679</v>
      </c>
      <c r="O805" s="4"/>
      <c r="P805" t="s">
        <v>733</v>
      </c>
      <c r="Q805">
        <v>14</v>
      </c>
    </row>
    <row r="806" spans="1:17" ht="14.25" customHeight="1" x14ac:dyDescent="0.25">
      <c r="A806" s="4"/>
      <c r="B806" s="21">
        <v>44221</v>
      </c>
      <c r="C806" s="5">
        <f t="shared" si="24"/>
        <v>5</v>
      </c>
      <c r="D806" s="5">
        <f t="shared" si="25"/>
        <v>2</v>
      </c>
      <c r="E806" s="1" t="s">
        <v>7</v>
      </c>
      <c r="F806" s="1" t="s">
        <v>14</v>
      </c>
      <c r="G806">
        <v>47918</v>
      </c>
      <c r="H806">
        <v>100809</v>
      </c>
      <c r="I806" s="4"/>
      <c r="J806" s="22">
        <v>0.38194444444444442</v>
      </c>
      <c r="K806" s="22">
        <v>0.56180555555555556</v>
      </c>
      <c r="L806" s="4"/>
      <c r="M806" s="4"/>
      <c r="N806" t="s">
        <v>1680</v>
      </c>
      <c r="O806" s="4"/>
      <c r="P806" t="s">
        <v>734</v>
      </c>
      <c r="Q806">
        <v>25</v>
      </c>
    </row>
    <row r="807" spans="1:17" ht="14.25" customHeight="1" x14ac:dyDescent="0.25">
      <c r="A807" s="4"/>
      <c r="B807" s="21">
        <v>44221</v>
      </c>
      <c r="C807" s="5">
        <f t="shared" si="24"/>
        <v>5</v>
      </c>
      <c r="D807" s="5">
        <f t="shared" si="25"/>
        <v>2</v>
      </c>
      <c r="E807" s="1" t="s">
        <v>7</v>
      </c>
      <c r="F807" s="1" t="s">
        <v>16</v>
      </c>
      <c r="G807">
        <v>47922</v>
      </c>
      <c r="H807">
        <v>100809</v>
      </c>
      <c r="I807" s="4"/>
      <c r="J807" s="22">
        <v>0.3034722222222222</v>
      </c>
      <c r="K807" s="22">
        <v>0.24513888888888888</v>
      </c>
      <c r="L807" s="4"/>
      <c r="M807" s="4"/>
      <c r="N807" t="s">
        <v>1681</v>
      </c>
      <c r="O807" s="4"/>
      <c r="P807" t="s">
        <v>735</v>
      </c>
      <c r="Q807">
        <v>15</v>
      </c>
    </row>
    <row r="808" spans="1:17" ht="14.25" customHeight="1" x14ac:dyDescent="0.25">
      <c r="A808" s="4"/>
      <c r="B808" s="21">
        <v>44221</v>
      </c>
      <c r="C808" s="5">
        <f t="shared" si="24"/>
        <v>5</v>
      </c>
      <c r="D808" s="5">
        <f t="shared" si="25"/>
        <v>2</v>
      </c>
      <c r="E808" s="1" t="s">
        <v>5</v>
      </c>
      <c r="F808" s="1" t="s">
        <v>19</v>
      </c>
      <c r="G808">
        <v>47923</v>
      </c>
      <c r="H808">
        <v>100811</v>
      </c>
      <c r="I808" s="4"/>
      <c r="J808" s="22">
        <v>0.47152777777777777</v>
      </c>
      <c r="K808" s="22">
        <v>0.64027777777777783</v>
      </c>
      <c r="L808" s="4"/>
      <c r="M808" s="4"/>
      <c r="N808" t="s">
        <v>1682</v>
      </c>
      <c r="O808" s="4"/>
      <c r="P808" t="s">
        <v>736</v>
      </c>
      <c r="Q808">
        <v>5</v>
      </c>
    </row>
    <row r="809" spans="1:17" ht="14.25" customHeight="1" x14ac:dyDescent="0.25">
      <c r="A809" s="4"/>
      <c r="B809" s="21">
        <v>44221</v>
      </c>
      <c r="C809" s="5">
        <f t="shared" si="24"/>
        <v>5</v>
      </c>
      <c r="D809" s="5">
        <f t="shared" si="25"/>
        <v>2</v>
      </c>
      <c r="E809" s="1" t="s">
        <v>6</v>
      </c>
      <c r="F809" s="1" t="s">
        <v>12</v>
      </c>
      <c r="G809">
        <v>47923</v>
      </c>
      <c r="H809">
        <v>100811</v>
      </c>
      <c r="I809" s="4"/>
      <c r="J809" s="22">
        <v>0.48194444444444445</v>
      </c>
      <c r="K809" s="22">
        <v>0.84513888888888899</v>
      </c>
      <c r="L809" s="4"/>
      <c r="M809" s="4"/>
      <c r="N809" t="s">
        <v>1683</v>
      </c>
      <c r="O809" s="4"/>
      <c r="P809" t="s">
        <v>737</v>
      </c>
      <c r="Q809">
        <v>24</v>
      </c>
    </row>
    <row r="810" spans="1:17" ht="14.25" customHeight="1" x14ac:dyDescent="0.25">
      <c r="A810" s="4"/>
      <c r="B810" s="21">
        <v>44221</v>
      </c>
      <c r="C810" s="5">
        <f t="shared" si="24"/>
        <v>5</v>
      </c>
      <c r="D810" s="5">
        <f t="shared" si="25"/>
        <v>2</v>
      </c>
      <c r="E810" s="1" t="s">
        <v>5</v>
      </c>
      <c r="F810" s="1" t="s">
        <v>19</v>
      </c>
      <c r="G810">
        <v>47925</v>
      </c>
      <c r="H810">
        <v>100812</v>
      </c>
      <c r="I810" s="4"/>
      <c r="J810" s="22">
        <v>0.47569444444444442</v>
      </c>
      <c r="K810" s="22">
        <v>0.80902777777777779</v>
      </c>
      <c r="L810" s="4"/>
      <c r="M810" s="4"/>
      <c r="N810" t="s">
        <v>1684</v>
      </c>
      <c r="O810" s="4"/>
      <c r="P810" t="s">
        <v>150</v>
      </c>
      <c r="Q810">
        <v>4</v>
      </c>
    </row>
    <row r="811" spans="1:17" ht="14.25" customHeight="1" x14ac:dyDescent="0.25">
      <c r="A811" s="4"/>
      <c r="B811" s="21">
        <v>44221</v>
      </c>
      <c r="C811" s="5">
        <f t="shared" si="24"/>
        <v>5</v>
      </c>
      <c r="D811" s="5">
        <f t="shared" si="25"/>
        <v>2</v>
      </c>
      <c r="E811" s="1" t="s">
        <v>5</v>
      </c>
      <c r="F811" s="1" t="s">
        <v>19</v>
      </c>
      <c r="G811">
        <v>47926</v>
      </c>
      <c r="H811">
        <v>100812</v>
      </c>
      <c r="I811" s="4"/>
      <c r="J811" s="22">
        <v>0.26250000000000001</v>
      </c>
      <c r="K811" s="22">
        <v>0.87083333333333324</v>
      </c>
      <c r="L811" s="4"/>
      <c r="M811" s="4"/>
      <c r="N811" t="s">
        <v>1685</v>
      </c>
      <c r="O811" s="4"/>
      <c r="P811" t="s">
        <v>738</v>
      </c>
      <c r="Q811">
        <v>26</v>
      </c>
    </row>
    <row r="812" spans="1:17" ht="14.25" customHeight="1" x14ac:dyDescent="0.25">
      <c r="A812" s="4"/>
      <c r="B812" s="21">
        <v>44221</v>
      </c>
      <c r="C812" s="5">
        <f t="shared" si="24"/>
        <v>5</v>
      </c>
      <c r="D812" s="5">
        <f t="shared" si="25"/>
        <v>2</v>
      </c>
      <c r="E812" s="1" t="s">
        <v>5</v>
      </c>
      <c r="F812" s="1" t="s">
        <v>19</v>
      </c>
      <c r="G812">
        <v>47926</v>
      </c>
      <c r="H812">
        <v>100813</v>
      </c>
      <c r="I812" s="4"/>
      <c r="J812" s="22">
        <v>0.42083333333333334</v>
      </c>
      <c r="K812" s="22">
        <v>0.74583333333333324</v>
      </c>
      <c r="L812" s="4"/>
      <c r="M812" s="4"/>
      <c r="N812" t="s">
        <v>1686</v>
      </c>
      <c r="O812" s="4"/>
      <c r="P812" t="s">
        <v>739</v>
      </c>
      <c r="Q812">
        <v>17</v>
      </c>
    </row>
    <row r="813" spans="1:17" ht="14.25" customHeight="1" x14ac:dyDescent="0.25">
      <c r="A813" s="4"/>
      <c r="B813" s="21">
        <v>44222</v>
      </c>
      <c r="C813" s="5">
        <f t="shared" si="24"/>
        <v>5</v>
      </c>
      <c r="D813" s="5">
        <f t="shared" si="25"/>
        <v>3</v>
      </c>
      <c r="E813" s="1" t="s">
        <v>5</v>
      </c>
      <c r="F813" s="1" t="s">
        <v>20</v>
      </c>
      <c r="G813">
        <v>47927</v>
      </c>
      <c r="H813">
        <v>100814</v>
      </c>
      <c r="I813" s="4"/>
      <c r="J813" s="22">
        <v>0.27083333333333331</v>
      </c>
      <c r="K813" s="22">
        <v>0.39166666666666666</v>
      </c>
      <c r="L813" s="4"/>
      <c r="M813" s="4"/>
      <c r="N813" t="s">
        <v>1687</v>
      </c>
      <c r="O813" s="4"/>
      <c r="P813" t="s">
        <v>740</v>
      </c>
      <c r="Q813">
        <v>10</v>
      </c>
    </row>
    <row r="814" spans="1:17" ht="14.25" customHeight="1" x14ac:dyDescent="0.25">
      <c r="A814" s="4"/>
      <c r="B814" s="21">
        <v>44222</v>
      </c>
      <c r="C814" s="5">
        <f t="shared" si="24"/>
        <v>5</v>
      </c>
      <c r="D814" s="5">
        <f t="shared" si="25"/>
        <v>3</v>
      </c>
      <c r="E814" s="1" t="s">
        <v>5</v>
      </c>
      <c r="F814" s="1" t="s">
        <v>19</v>
      </c>
      <c r="G814">
        <v>47928</v>
      </c>
      <c r="H814">
        <v>100814</v>
      </c>
      <c r="I814" s="4"/>
      <c r="J814" s="22">
        <v>0.32916666666666666</v>
      </c>
      <c r="K814" s="22">
        <v>0.78125</v>
      </c>
      <c r="L814" s="4"/>
      <c r="M814" s="4"/>
      <c r="N814" t="s">
        <v>1688</v>
      </c>
      <c r="O814" s="4"/>
      <c r="P814" t="s">
        <v>741</v>
      </c>
      <c r="Q814">
        <v>11</v>
      </c>
    </row>
    <row r="815" spans="1:17" ht="14.25" customHeight="1" x14ac:dyDescent="0.25">
      <c r="A815" s="4"/>
      <c r="B815" s="21">
        <v>44222</v>
      </c>
      <c r="C815" s="5">
        <f t="shared" si="24"/>
        <v>5</v>
      </c>
      <c r="D815" s="5">
        <f t="shared" si="25"/>
        <v>3</v>
      </c>
      <c r="E815" s="1" t="s">
        <v>6</v>
      </c>
      <c r="F815" s="1" t="s">
        <v>11</v>
      </c>
      <c r="G815">
        <v>47929</v>
      </c>
      <c r="H815">
        <v>100816</v>
      </c>
      <c r="I815" s="4"/>
      <c r="J815" s="22">
        <v>0.3972222222222222</v>
      </c>
      <c r="K815" s="22">
        <v>0.48333333333333334</v>
      </c>
      <c r="L815" s="4"/>
      <c r="M815" s="4"/>
      <c r="N815" t="s">
        <v>1689</v>
      </c>
      <c r="O815" s="4"/>
      <c r="P815" t="s">
        <v>742</v>
      </c>
      <c r="Q815">
        <v>24</v>
      </c>
    </row>
    <row r="816" spans="1:17" ht="14.25" customHeight="1" x14ac:dyDescent="0.25">
      <c r="A816" s="4"/>
      <c r="B816" s="21">
        <v>44222</v>
      </c>
      <c r="C816" s="5">
        <f t="shared" si="24"/>
        <v>5</v>
      </c>
      <c r="D816" s="5">
        <f t="shared" si="25"/>
        <v>3</v>
      </c>
      <c r="E816" s="1" t="s">
        <v>5</v>
      </c>
      <c r="F816" s="1" t="s">
        <v>18</v>
      </c>
      <c r="G816">
        <v>47929</v>
      </c>
      <c r="H816">
        <v>100816</v>
      </c>
      <c r="I816" s="4"/>
      <c r="J816" s="22">
        <v>0.3743055555555555</v>
      </c>
      <c r="K816" s="22">
        <v>0.49027777777777781</v>
      </c>
      <c r="L816" s="4"/>
      <c r="M816" s="4"/>
      <c r="N816" t="s">
        <v>1690</v>
      </c>
      <c r="O816" s="4"/>
      <c r="P816" t="s">
        <v>743</v>
      </c>
      <c r="Q816">
        <v>16</v>
      </c>
    </row>
    <row r="817" spans="1:17" ht="14.25" customHeight="1" x14ac:dyDescent="0.25">
      <c r="A817" s="4"/>
      <c r="B817" s="21">
        <v>44222</v>
      </c>
      <c r="C817" s="5">
        <f t="shared" si="24"/>
        <v>5</v>
      </c>
      <c r="D817" s="5">
        <f t="shared" si="25"/>
        <v>3</v>
      </c>
      <c r="E817" s="1" t="s">
        <v>7</v>
      </c>
      <c r="F817" s="1" t="s">
        <v>14</v>
      </c>
      <c r="G817">
        <v>47929</v>
      </c>
      <c r="H817">
        <v>100817</v>
      </c>
      <c r="I817" s="4"/>
      <c r="J817" s="22">
        <v>0.33402777777777781</v>
      </c>
      <c r="K817" s="22">
        <v>0.68055555555555547</v>
      </c>
      <c r="L817" s="4"/>
      <c r="M817" s="4"/>
      <c r="N817" t="s">
        <v>1691</v>
      </c>
      <c r="O817" s="4"/>
      <c r="P817" t="s">
        <v>374</v>
      </c>
      <c r="Q817">
        <v>8</v>
      </c>
    </row>
    <row r="818" spans="1:17" ht="14.25" customHeight="1" x14ac:dyDescent="0.25">
      <c r="A818" s="4"/>
      <c r="B818" s="21">
        <v>44222</v>
      </c>
      <c r="C818" s="5">
        <f t="shared" si="24"/>
        <v>5</v>
      </c>
      <c r="D818" s="5">
        <f t="shared" si="25"/>
        <v>3</v>
      </c>
      <c r="E818" s="1" t="s">
        <v>7</v>
      </c>
      <c r="F818" s="1" t="s">
        <v>14</v>
      </c>
      <c r="G818">
        <v>47929</v>
      </c>
      <c r="H818">
        <v>100817</v>
      </c>
      <c r="I818" s="4"/>
      <c r="J818" s="22">
        <v>0.28888888888888892</v>
      </c>
      <c r="K818" s="22">
        <v>0.52430555555555558</v>
      </c>
      <c r="L818" s="4"/>
      <c r="M818" s="4"/>
      <c r="N818" t="s">
        <v>1692</v>
      </c>
      <c r="O818" s="4"/>
      <c r="P818" t="s">
        <v>744</v>
      </c>
      <c r="Q818">
        <v>7</v>
      </c>
    </row>
    <row r="819" spans="1:17" ht="14.25" customHeight="1" x14ac:dyDescent="0.25">
      <c r="A819" s="4"/>
      <c r="B819" s="21">
        <v>44222</v>
      </c>
      <c r="C819" s="5">
        <f t="shared" si="24"/>
        <v>5</v>
      </c>
      <c r="D819" s="5">
        <f t="shared" si="25"/>
        <v>3</v>
      </c>
      <c r="E819" s="1" t="s">
        <v>6</v>
      </c>
      <c r="F819" s="1" t="s">
        <v>13</v>
      </c>
      <c r="G819">
        <v>47931</v>
      </c>
      <c r="H819">
        <v>100818</v>
      </c>
      <c r="I819" s="4"/>
      <c r="J819" s="22">
        <v>0.33055555555555555</v>
      </c>
      <c r="K819" s="22">
        <v>0.11527777777777777</v>
      </c>
      <c r="L819" s="4"/>
      <c r="M819" s="4"/>
      <c r="N819" t="s">
        <v>1693</v>
      </c>
      <c r="O819" s="4"/>
      <c r="P819" t="s">
        <v>745</v>
      </c>
      <c r="Q819">
        <v>2</v>
      </c>
    </row>
    <row r="820" spans="1:17" ht="14.25" customHeight="1" x14ac:dyDescent="0.25">
      <c r="A820" s="4"/>
      <c r="B820" s="21">
        <v>44222</v>
      </c>
      <c r="C820" s="5">
        <f t="shared" si="24"/>
        <v>5</v>
      </c>
      <c r="D820" s="5">
        <f t="shared" si="25"/>
        <v>3</v>
      </c>
      <c r="E820" s="1" t="s">
        <v>6</v>
      </c>
      <c r="F820" s="1" t="s">
        <v>13</v>
      </c>
      <c r="G820">
        <v>47931</v>
      </c>
      <c r="H820">
        <v>100822</v>
      </c>
      <c r="I820" s="4"/>
      <c r="J820" s="22">
        <v>0.43124999999999997</v>
      </c>
      <c r="K820" s="22">
        <v>0.51597222222222217</v>
      </c>
      <c r="L820" s="4"/>
      <c r="M820" s="4"/>
      <c r="N820" t="s">
        <v>1694</v>
      </c>
      <c r="O820" s="4"/>
      <c r="P820" t="s">
        <v>446</v>
      </c>
      <c r="Q820">
        <v>1</v>
      </c>
    </row>
    <row r="821" spans="1:17" ht="14.25" customHeight="1" x14ac:dyDescent="0.25">
      <c r="A821" s="4"/>
      <c r="B821" s="21">
        <v>44222</v>
      </c>
      <c r="C821" s="5">
        <f t="shared" si="24"/>
        <v>5</v>
      </c>
      <c r="D821" s="5">
        <f t="shared" si="25"/>
        <v>3</v>
      </c>
      <c r="E821" s="1" t="s">
        <v>6</v>
      </c>
      <c r="F821" s="1" t="s">
        <v>13</v>
      </c>
      <c r="G821">
        <v>47933</v>
      </c>
      <c r="H821">
        <v>100822</v>
      </c>
      <c r="I821" s="4"/>
      <c r="J821" s="22">
        <v>0.3263888888888889</v>
      </c>
      <c r="K821" s="22">
        <v>0.99236111111111114</v>
      </c>
      <c r="L821" s="4"/>
      <c r="M821" s="4"/>
      <c r="N821" t="s">
        <v>1695</v>
      </c>
      <c r="O821" s="4"/>
      <c r="P821" t="s">
        <v>303</v>
      </c>
      <c r="Q821">
        <v>24</v>
      </c>
    </row>
    <row r="822" spans="1:17" ht="14.25" customHeight="1" x14ac:dyDescent="0.25">
      <c r="A822" s="4"/>
      <c r="B822" s="21">
        <v>44222</v>
      </c>
      <c r="C822" s="5">
        <f t="shared" si="24"/>
        <v>5</v>
      </c>
      <c r="D822" s="5">
        <f t="shared" si="25"/>
        <v>3</v>
      </c>
      <c r="E822" s="1" t="s">
        <v>6</v>
      </c>
      <c r="F822" s="1" t="s">
        <v>11</v>
      </c>
      <c r="G822">
        <v>47936</v>
      </c>
      <c r="H822">
        <v>100823</v>
      </c>
      <c r="I822" s="4"/>
      <c r="J822" s="22">
        <v>0.48055555555555557</v>
      </c>
      <c r="K822" s="22">
        <v>0.98958333333333337</v>
      </c>
      <c r="L822" s="4"/>
      <c r="M822" s="4"/>
      <c r="N822" t="s">
        <v>1696</v>
      </c>
      <c r="O822" s="4"/>
      <c r="P822" t="s">
        <v>263</v>
      </c>
      <c r="Q822">
        <v>16</v>
      </c>
    </row>
    <row r="823" spans="1:17" ht="14.25" customHeight="1" x14ac:dyDescent="0.25">
      <c r="A823" s="4"/>
      <c r="B823" s="21">
        <v>44222</v>
      </c>
      <c r="C823" s="5">
        <f t="shared" si="24"/>
        <v>5</v>
      </c>
      <c r="D823" s="5">
        <f t="shared" si="25"/>
        <v>3</v>
      </c>
      <c r="E823" s="1" t="s">
        <v>7</v>
      </c>
      <c r="F823" s="1" t="s">
        <v>15</v>
      </c>
      <c r="G823">
        <v>47936</v>
      </c>
      <c r="H823">
        <v>100825</v>
      </c>
      <c r="I823" s="4"/>
      <c r="J823" s="22">
        <v>0.37777777777777777</v>
      </c>
      <c r="K823" s="22">
        <v>0.54027777777777775</v>
      </c>
      <c r="L823" s="4"/>
      <c r="M823" s="4"/>
      <c r="N823" t="s">
        <v>1697</v>
      </c>
      <c r="O823" s="4"/>
      <c r="P823" t="s">
        <v>746</v>
      </c>
      <c r="Q823">
        <v>24</v>
      </c>
    </row>
    <row r="824" spans="1:17" ht="14.25" customHeight="1" x14ac:dyDescent="0.25">
      <c r="A824" s="4"/>
      <c r="B824" s="21">
        <v>44222</v>
      </c>
      <c r="C824" s="5">
        <f t="shared" si="24"/>
        <v>5</v>
      </c>
      <c r="D824" s="5">
        <f t="shared" si="25"/>
        <v>3</v>
      </c>
      <c r="E824" s="1" t="s">
        <v>5</v>
      </c>
      <c r="F824" s="1" t="s">
        <v>18</v>
      </c>
      <c r="G824">
        <v>47942</v>
      </c>
      <c r="H824">
        <v>100826</v>
      </c>
      <c r="I824" s="4"/>
      <c r="J824" s="22">
        <v>0.38611111111111113</v>
      </c>
      <c r="K824" s="22">
        <v>0.91319444444444453</v>
      </c>
      <c r="L824" s="4"/>
      <c r="M824" s="4"/>
      <c r="N824" t="s">
        <v>1698</v>
      </c>
      <c r="O824" s="4"/>
      <c r="P824" t="s">
        <v>181</v>
      </c>
      <c r="Q824">
        <v>15</v>
      </c>
    </row>
    <row r="825" spans="1:17" ht="14.25" customHeight="1" x14ac:dyDescent="0.25">
      <c r="A825" s="4"/>
      <c r="B825" s="21">
        <v>44222</v>
      </c>
      <c r="C825" s="5">
        <f t="shared" si="24"/>
        <v>5</v>
      </c>
      <c r="D825" s="5">
        <f t="shared" si="25"/>
        <v>3</v>
      </c>
      <c r="E825" s="1" t="s">
        <v>6</v>
      </c>
      <c r="F825" s="1" t="s">
        <v>13</v>
      </c>
      <c r="G825">
        <v>47942</v>
      </c>
      <c r="H825">
        <v>100829</v>
      </c>
      <c r="I825" s="4"/>
      <c r="J825" s="22">
        <v>0.25069444444444444</v>
      </c>
      <c r="K825" s="22">
        <v>0.18124999999999999</v>
      </c>
      <c r="L825" s="4"/>
      <c r="M825" s="4"/>
      <c r="N825" t="s">
        <v>1699</v>
      </c>
      <c r="O825" s="4"/>
      <c r="P825" t="s">
        <v>335</v>
      </c>
      <c r="Q825">
        <v>2</v>
      </c>
    </row>
    <row r="826" spans="1:17" ht="14.25" customHeight="1" x14ac:dyDescent="0.25">
      <c r="A826" s="4"/>
      <c r="B826" s="21">
        <v>44222</v>
      </c>
      <c r="C826" s="5">
        <f t="shared" si="24"/>
        <v>5</v>
      </c>
      <c r="D826" s="5">
        <f t="shared" si="25"/>
        <v>3</v>
      </c>
      <c r="E826" s="1" t="s">
        <v>5</v>
      </c>
      <c r="F826" s="1" t="s">
        <v>20</v>
      </c>
      <c r="G826">
        <v>47943</v>
      </c>
      <c r="H826">
        <v>100829</v>
      </c>
      <c r="I826" s="4"/>
      <c r="J826" s="22">
        <v>0.33124999999999999</v>
      </c>
      <c r="K826" s="22">
        <v>0.4368055555555555</v>
      </c>
      <c r="L826" s="4"/>
      <c r="M826" s="4"/>
      <c r="N826" t="s">
        <v>1700</v>
      </c>
      <c r="O826" s="4"/>
      <c r="P826" t="s">
        <v>71</v>
      </c>
      <c r="Q826">
        <v>11</v>
      </c>
    </row>
    <row r="827" spans="1:17" ht="14.25" customHeight="1" x14ac:dyDescent="0.25">
      <c r="A827" s="4"/>
      <c r="B827" s="21">
        <v>44222</v>
      </c>
      <c r="C827" s="5">
        <f t="shared" si="24"/>
        <v>5</v>
      </c>
      <c r="D827" s="5">
        <f t="shared" si="25"/>
        <v>3</v>
      </c>
      <c r="E827" s="1" t="s">
        <v>7</v>
      </c>
      <c r="F827" s="1" t="s">
        <v>15</v>
      </c>
      <c r="G827">
        <v>47943</v>
      </c>
      <c r="H827">
        <v>100830</v>
      </c>
      <c r="I827" s="4"/>
      <c r="J827" s="22">
        <v>0.42152777777777778</v>
      </c>
      <c r="K827" s="22">
        <v>0.75486111111111109</v>
      </c>
      <c r="L827" s="4"/>
      <c r="M827" s="4"/>
      <c r="N827" t="s">
        <v>1701</v>
      </c>
      <c r="O827" s="4"/>
      <c r="P827" t="s">
        <v>542</v>
      </c>
      <c r="Q827">
        <v>26</v>
      </c>
    </row>
    <row r="828" spans="1:17" ht="14.25" customHeight="1" x14ac:dyDescent="0.25">
      <c r="A828" s="4"/>
      <c r="B828" s="21">
        <v>44222</v>
      </c>
      <c r="C828" s="5">
        <f t="shared" si="24"/>
        <v>5</v>
      </c>
      <c r="D828" s="5">
        <f t="shared" si="25"/>
        <v>3</v>
      </c>
      <c r="E828" s="1" t="s">
        <v>7</v>
      </c>
      <c r="F828" s="1" t="s">
        <v>15</v>
      </c>
      <c r="G828">
        <v>47946</v>
      </c>
      <c r="H828">
        <v>100831</v>
      </c>
      <c r="I828" s="4"/>
      <c r="J828" s="22">
        <v>0.45694444444444443</v>
      </c>
      <c r="K828" s="22">
        <v>0.40833333333333338</v>
      </c>
      <c r="L828" s="4"/>
      <c r="M828" s="4"/>
      <c r="N828" t="s">
        <v>1702</v>
      </c>
      <c r="O828" s="4"/>
      <c r="P828" t="s">
        <v>747</v>
      </c>
      <c r="Q828">
        <v>4</v>
      </c>
    </row>
    <row r="829" spans="1:17" ht="14.25" customHeight="1" x14ac:dyDescent="0.25">
      <c r="A829" s="4"/>
      <c r="B829" s="21">
        <v>44222</v>
      </c>
      <c r="C829" s="5">
        <f t="shared" si="24"/>
        <v>5</v>
      </c>
      <c r="D829" s="5">
        <f t="shared" si="25"/>
        <v>3</v>
      </c>
      <c r="E829" s="1" t="s">
        <v>6</v>
      </c>
      <c r="F829" s="1" t="s">
        <v>11</v>
      </c>
      <c r="G829">
        <v>47947</v>
      </c>
      <c r="H829">
        <v>100832</v>
      </c>
      <c r="I829" s="4"/>
      <c r="J829" s="22">
        <v>0.33611111111111108</v>
      </c>
      <c r="K829" s="22">
        <v>0.71597222222222223</v>
      </c>
      <c r="L829" s="4"/>
      <c r="M829" s="4"/>
      <c r="N829" t="s">
        <v>1703</v>
      </c>
      <c r="O829" s="4"/>
      <c r="P829" t="s">
        <v>748</v>
      </c>
      <c r="Q829">
        <v>16</v>
      </c>
    </row>
    <row r="830" spans="1:17" ht="14.25" customHeight="1" x14ac:dyDescent="0.25">
      <c r="A830" s="4"/>
      <c r="B830" s="21">
        <v>44222</v>
      </c>
      <c r="C830" s="5">
        <f t="shared" si="24"/>
        <v>5</v>
      </c>
      <c r="D830" s="5">
        <f t="shared" si="25"/>
        <v>3</v>
      </c>
      <c r="E830" s="1" t="s">
        <v>7</v>
      </c>
      <c r="F830" s="1" t="s">
        <v>16</v>
      </c>
      <c r="G830">
        <v>47947</v>
      </c>
      <c r="H830">
        <v>100833</v>
      </c>
      <c r="I830" s="4"/>
      <c r="J830" s="22">
        <v>0.3888888888888889</v>
      </c>
      <c r="K830" s="22">
        <v>0.95416666666666661</v>
      </c>
      <c r="L830" s="4"/>
      <c r="M830" s="4"/>
      <c r="N830" t="s">
        <v>1704</v>
      </c>
      <c r="O830" s="4"/>
      <c r="P830" t="s">
        <v>749</v>
      </c>
      <c r="Q830">
        <v>33</v>
      </c>
    </row>
    <row r="831" spans="1:17" ht="14.25" customHeight="1" x14ac:dyDescent="0.25">
      <c r="A831" s="4"/>
      <c r="B831" s="21">
        <v>44222</v>
      </c>
      <c r="C831" s="5">
        <f t="shared" si="24"/>
        <v>5</v>
      </c>
      <c r="D831" s="5">
        <f t="shared" si="25"/>
        <v>3</v>
      </c>
      <c r="E831" s="1" t="s">
        <v>5</v>
      </c>
      <c r="F831" s="1" t="s">
        <v>18</v>
      </c>
      <c r="G831">
        <v>47947</v>
      </c>
      <c r="H831">
        <v>100834</v>
      </c>
      <c r="I831" s="4"/>
      <c r="J831" s="22">
        <v>0.26527777777777778</v>
      </c>
      <c r="K831" s="22">
        <v>0.36736111111111108</v>
      </c>
      <c r="L831" s="4"/>
      <c r="M831" s="4"/>
      <c r="N831" t="s">
        <v>1705</v>
      </c>
      <c r="O831" s="4"/>
      <c r="P831" t="s">
        <v>750</v>
      </c>
      <c r="Q831">
        <v>3</v>
      </c>
    </row>
    <row r="832" spans="1:17" ht="14.25" customHeight="1" x14ac:dyDescent="0.25">
      <c r="A832" s="4"/>
      <c r="B832" s="21">
        <v>44222</v>
      </c>
      <c r="C832" s="5">
        <f t="shared" si="24"/>
        <v>5</v>
      </c>
      <c r="D832" s="5">
        <f t="shared" si="25"/>
        <v>3</v>
      </c>
      <c r="E832" s="1" t="s">
        <v>5</v>
      </c>
      <c r="F832" s="1" t="s">
        <v>19</v>
      </c>
      <c r="G832">
        <v>47948</v>
      </c>
      <c r="H832">
        <v>100834</v>
      </c>
      <c r="I832" s="4"/>
      <c r="J832" s="22">
        <v>0.39166666666666666</v>
      </c>
      <c r="K832" s="22">
        <v>0.50138888888888888</v>
      </c>
      <c r="L832" s="4"/>
      <c r="M832" s="4"/>
      <c r="N832" t="s">
        <v>1706</v>
      </c>
      <c r="O832" s="4"/>
      <c r="P832" t="s">
        <v>751</v>
      </c>
      <c r="Q832">
        <v>20</v>
      </c>
    </row>
    <row r="833" spans="1:17" ht="14.25" customHeight="1" x14ac:dyDescent="0.25">
      <c r="A833" s="4"/>
      <c r="B833" s="21">
        <v>44222</v>
      </c>
      <c r="C833" s="5">
        <f t="shared" si="24"/>
        <v>5</v>
      </c>
      <c r="D833" s="5">
        <f t="shared" si="25"/>
        <v>3</v>
      </c>
      <c r="E833" s="1" t="s">
        <v>5</v>
      </c>
      <c r="F833" s="1" t="s">
        <v>18</v>
      </c>
      <c r="G833">
        <v>47948</v>
      </c>
      <c r="H833">
        <v>100836</v>
      </c>
      <c r="I833" s="4"/>
      <c r="J833" s="22">
        <v>0.32361111111111113</v>
      </c>
      <c r="K833" s="22">
        <v>0.82430555555555562</v>
      </c>
      <c r="L833" s="4"/>
      <c r="M833" s="4"/>
      <c r="N833" t="s">
        <v>1707</v>
      </c>
      <c r="O833" s="4"/>
      <c r="P833" t="s">
        <v>752</v>
      </c>
      <c r="Q833">
        <v>3</v>
      </c>
    </row>
    <row r="834" spans="1:17" ht="14.25" customHeight="1" x14ac:dyDescent="0.25">
      <c r="A834" s="4"/>
      <c r="B834" s="21">
        <v>44222</v>
      </c>
      <c r="C834" s="5">
        <f t="shared" si="24"/>
        <v>5</v>
      </c>
      <c r="D834" s="5">
        <f t="shared" si="25"/>
        <v>3</v>
      </c>
      <c r="E834" s="1" t="s">
        <v>5</v>
      </c>
      <c r="F834" s="1" t="s">
        <v>19</v>
      </c>
      <c r="G834">
        <v>47949</v>
      </c>
      <c r="H834">
        <v>100836</v>
      </c>
      <c r="I834" s="4"/>
      <c r="J834" s="22">
        <v>0.41805555555555557</v>
      </c>
      <c r="K834" s="22">
        <v>0.65</v>
      </c>
      <c r="L834" s="4"/>
      <c r="M834" s="4"/>
      <c r="N834" t="s">
        <v>1708</v>
      </c>
      <c r="O834" s="4"/>
      <c r="P834" t="s">
        <v>753</v>
      </c>
      <c r="Q834">
        <v>20</v>
      </c>
    </row>
    <row r="835" spans="1:17" ht="14.25" customHeight="1" x14ac:dyDescent="0.25">
      <c r="A835" s="4"/>
      <c r="B835" s="21">
        <v>44222</v>
      </c>
      <c r="C835" s="5">
        <f t="shared" ref="C835:C898" si="26">WEEKNUM(B835)</f>
        <v>5</v>
      </c>
      <c r="D835" s="5">
        <f t="shared" ref="D835:D898" si="27">WEEKDAY(B835)</f>
        <v>3</v>
      </c>
      <c r="E835" s="1" t="s">
        <v>5</v>
      </c>
      <c r="F835" s="1" t="s">
        <v>18</v>
      </c>
      <c r="G835">
        <v>47950</v>
      </c>
      <c r="H835">
        <v>100836</v>
      </c>
      <c r="I835" s="4"/>
      <c r="J835" s="22">
        <v>0.41805555555555557</v>
      </c>
      <c r="K835" s="22">
        <v>0.94027777777777777</v>
      </c>
      <c r="L835" s="4"/>
      <c r="M835" s="4"/>
      <c r="N835" t="s">
        <v>1709</v>
      </c>
      <c r="O835" s="4"/>
      <c r="P835" t="s">
        <v>754</v>
      </c>
      <c r="Q835">
        <v>25</v>
      </c>
    </row>
    <row r="836" spans="1:17" ht="14.25" customHeight="1" x14ac:dyDescent="0.25">
      <c r="A836" s="4"/>
      <c r="B836" s="21">
        <v>44222</v>
      </c>
      <c r="C836" s="5">
        <f t="shared" si="26"/>
        <v>5</v>
      </c>
      <c r="D836" s="5">
        <f t="shared" si="27"/>
        <v>3</v>
      </c>
      <c r="E836" s="1" t="s">
        <v>6</v>
      </c>
      <c r="F836" s="1" t="s">
        <v>11</v>
      </c>
      <c r="G836">
        <v>47951</v>
      </c>
      <c r="H836">
        <v>100836</v>
      </c>
      <c r="I836" s="4"/>
      <c r="J836" s="22">
        <v>0.32291666666666669</v>
      </c>
      <c r="K836" s="22">
        <v>0.22777777777777777</v>
      </c>
      <c r="L836" s="4"/>
      <c r="M836" s="4"/>
      <c r="N836" t="s">
        <v>1710</v>
      </c>
      <c r="O836" s="4"/>
      <c r="P836" t="s">
        <v>755</v>
      </c>
      <c r="Q836">
        <v>28</v>
      </c>
    </row>
    <row r="837" spans="1:17" ht="14.25" customHeight="1" x14ac:dyDescent="0.25">
      <c r="A837" s="4"/>
      <c r="B837" s="21">
        <v>44222</v>
      </c>
      <c r="C837" s="5">
        <f t="shared" si="26"/>
        <v>5</v>
      </c>
      <c r="D837" s="5">
        <f t="shared" si="27"/>
        <v>3</v>
      </c>
      <c r="E837" s="1" t="s">
        <v>5</v>
      </c>
      <c r="F837" s="1" t="s">
        <v>18</v>
      </c>
      <c r="G837">
        <v>47952</v>
      </c>
      <c r="H837">
        <v>100836</v>
      </c>
      <c r="I837" s="4"/>
      <c r="J837" s="22">
        <v>0.4909722222222222</v>
      </c>
      <c r="K837" s="22">
        <v>0.81180555555555556</v>
      </c>
      <c r="L837" s="4"/>
      <c r="M837" s="4"/>
      <c r="N837" t="s">
        <v>1711</v>
      </c>
      <c r="O837" s="4"/>
      <c r="P837" t="s">
        <v>99</v>
      </c>
      <c r="Q837">
        <v>31</v>
      </c>
    </row>
    <row r="838" spans="1:17" ht="14.25" customHeight="1" x14ac:dyDescent="0.25">
      <c r="A838" s="4"/>
      <c r="B838" s="21">
        <v>44222</v>
      </c>
      <c r="C838" s="5">
        <f t="shared" si="26"/>
        <v>5</v>
      </c>
      <c r="D838" s="5">
        <f t="shared" si="27"/>
        <v>3</v>
      </c>
      <c r="E838" s="1" t="s">
        <v>5</v>
      </c>
      <c r="F838" s="1" t="s">
        <v>17</v>
      </c>
      <c r="G838">
        <v>47952</v>
      </c>
      <c r="H838">
        <v>100837</v>
      </c>
      <c r="I838" s="4"/>
      <c r="J838" s="22">
        <v>0.45833333333333331</v>
      </c>
      <c r="K838" s="22">
        <v>0.44375000000000003</v>
      </c>
      <c r="L838" s="4"/>
      <c r="M838" s="4"/>
      <c r="N838" t="s">
        <v>1712</v>
      </c>
      <c r="O838" s="4"/>
      <c r="P838" t="s">
        <v>756</v>
      </c>
      <c r="Q838">
        <v>21</v>
      </c>
    </row>
    <row r="839" spans="1:17" ht="14.25" customHeight="1" x14ac:dyDescent="0.25">
      <c r="A839" s="4"/>
      <c r="B839" s="21">
        <v>44222</v>
      </c>
      <c r="C839" s="5">
        <f t="shared" si="26"/>
        <v>5</v>
      </c>
      <c r="D839" s="5">
        <f t="shared" si="27"/>
        <v>3</v>
      </c>
      <c r="E839" s="1" t="s">
        <v>5</v>
      </c>
      <c r="F839" s="1" t="s">
        <v>17</v>
      </c>
      <c r="G839">
        <v>47955</v>
      </c>
      <c r="H839">
        <v>100838</v>
      </c>
      <c r="I839" s="4"/>
      <c r="J839" s="22">
        <v>0.48125000000000001</v>
      </c>
      <c r="K839" s="22">
        <v>0.12152777777777778</v>
      </c>
      <c r="L839" s="4"/>
      <c r="M839" s="4"/>
      <c r="N839" t="s">
        <v>1713</v>
      </c>
      <c r="O839" s="4"/>
      <c r="P839" t="s">
        <v>757</v>
      </c>
      <c r="Q839">
        <v>29</v>
      </c>
    </row>
    <row r="840" spans="1:17" ht="14.25" customHeight="1" x14ac:dyDescent="0.25">
      <c r="A840" s="4"/>
      <c r="B840" s="21">
        <v>44222</v>
      </c>
      <c r="C840" s="5">
        <f t="shared" si="26"/>
        <v>5</v>
      </c>
      <c r="D840" s="5">
        <f t="shared" si="27"/>
        <v>3</v>
      </c>
      <c r="E840" s="1" t="s">
        <v>6</v>
      </c>
      <c r="F840" s="1" t="s">
        <v>12</v>
      </c>
      <c r="G840">
        <v>47955</v>
      </c>
      <c r="H840">
        <v>100839</v>
      </c>
      <c r="I840" s="4"/>
      <c r="J840" s="22">
        <v>0.28611111111111115</v>
      </c>
      <c r="K840" s="22">
        <v>0.5083333333333333</v>
      </c>
      <c r="L840" s="4"/>
      <c r="M840" s="4"/>
      <c r="N840" t="s">
        <v>1714</v>
      </c>
      <c r="O840" s="4"/>
      <c r="P840" t="s">
        <v>758</v>
      </c>
      <c r="Q840">
        <v>22</v>
      </c>
    </row>
    <row r="841" spans="1:17" ht="14.25" customHeight="1" x14ac:dyDescent="0.25">
      <c r="A841" s="4"/>
      <c r="B841" s="21">
        <v>44222</v>
      </c>
      <c r="C841" s="5">
        <f t="shared" si="26"/>
        <v>5</v>
      </c>
      <c r="D841" s="5">
        <f t="shared" si="27"/>
        <v>3</v>
      </c>
      <c r="E841" s="1" t="s">
        <v>7</v>
      </c>
      <c r="F841" s="1" t="s">
        <v>15</v>
      </c>
      <c r="G841">
        <v>47955</v>
      </c>
      <c r="H841">
        <v>100839</v>
      </c>
      <c r="I841" s="4"/>
      <c r="J841" s="22">
        <v>0.25694444444444448</v>
      </c>
      <c r="K841" s="22">
        <v>0.52222222222222225</v>
      </c>
      <c r="L841" s="4"/>
      <c r="M841" s="4"/>
      <c r="N841" t="s">
        <v>1715</v>
      </c>
      <c r="O841" s="4"/>
      <c r="P841" t="s">
        <v>759</v>
      </c>
      <c r="Q841">
        <v>26</v>
      </c>
    </row>
    <row r="842" spans="1:17" ht="14.25" customHeight="1" x14ac:dyDescent="0.25">
      <c r="A842" s="4"/>
      <c r="B842" s="21">
        <v>44222</v>
      </c>
      <c r="C842" s="5">
        <f t="shared" si="26"/>
        <v>5</v>
      </c>
      <c r="D842" s="5">
        <f t="shared" si="27"/>
        <v>3</v>
      </c>
      <c r="E842" s="1" t="s">
        <v>5</v>
      </c>
      <c r="F842" s="1" t="s">
        <v>20</v>
      </c>
      <c r="G842">
        <v>47957</v>
      </c>
      <c r="H842">
        <v>100840</v>
      </c>
      <c r="I842" s="4"/>
      <c r="J842" s="22">
        <v>0.25277777777777777</v>
      </c>
      <c r="K842" s="22">
        <v>0.37986111111111115</v>
      </c>
      <c r="L842" s="4"/>
      <c r="M842" s="4"/>
      <c r="N842" t="s">
        <v>1716</v>
      </c>
      <c r="O842" s="4"/>
      <c r="P842" t="s">
        <v>760</v>
      </c>
      <c r="Q842">
        <v>16</v>
      </c>
    </row>
    <row r="843" spans="1:17" ht="14.25" customHeight="1" x14ac:dyDescent="0.25">
      <c r="A843" s="4"/>
      <c r="B843" s="21">
        <v>44222</v>
      </c>
      <c r="C843" s="5">
        <f t="shared" si="26"/>
        <v>5</v>
      </c>
      <c r="D843" s="5">
        <f t="shared" si="27"/>
        <v>3</v>
      </c>
      <c r="E843" s="1" t="s">
        <v>7</v>
      </c>
      <c r="F843" s="1" t="s">
        <v>16</v>
      </c>
      <c r="G843">
        <v>47958</v>
      </c>
      <c r="H843">
        <v>100841</v>
      </c>
      <c r="I843" s="4"/>
      <c r="J843" s="22">
        <v>0.39097222222222222</v>
      </c>
      <c r="K843" s="22">
        <v>0.84722222222222221</v>
      </c>
      <c r="L843" s="4"/>
      <c r="M843" s="4"/>
      <c r="N843" t="s">
        <v>1717</v>
      </c>
      <c r="O843" s="4"/>
      <c r="P843" t="s">
        <v>761</v>
      </c>
      <c r="Q843">
        <v>12</v>
      </c>
    </row>
    <row r="844" spans="1:17" ht="14.25" customHeight="1" x14ac:dyDescent="0.25">
      <c r="A844" s="4"/>
      <c r="B844" s="21">
        <v>44222</v>
      </c>
      <c r="C844" s="5">
        <f t="shared" si="26"/>
        <v>5</v>
      </c>
      <c r="D844" s="5">
        <f t="shared" si="27"/>
        <v>3</v>
      </c>
      <c r="E844" s="1" t="s">
        <v>6</v>
      </c>
      <c r="F844" s="1" t="s">
        <v>13</v>
      </c>
      <c r="G844">
        <v>47958</v>
      </c>
      <c r="H844">
        <v>100841</v>
      </c>
      <c r="I844" s="4"/>
      <c r="J844" s="22">
        <v>0.46527777777777773</v>
      </c>
      <c r="K844" s="22">
        <v>0.94791666666666663</v>
      </c>
      <c r="L844" s="4"/>
      <c r="M844" s="4"/>
      <c r="N844" t="s">
        <v>1718</v>
      </c>
      <c r="O844" s="4"/>
      <c r="P844" t="s">
        <v>762</v>
      </c>
      <c r="Q844">
        <v>7</v>
      </c>
    </row>
    <row r="845" spans="1:17" ht="14.25" customHeight="1" x14ac:dyDescent="0.25">
      <c r="A845" s="4"/>
      <c r="B845" s="21">
        <v>44222</v>
      </c>
      <c r="C845" s="5">
        <f t="shared" si="26"/>
        <v>5</v>
      </c>
      <c r="D845" s="5">
        <f t="shared" si="27"/>
        <v>3</v>
      </c>
      <c r="E845" s="1" t="s">
        <v>5</v>
      </c>
      <c r="F845" s="1" t="s">
        <v>18</v>
      </c>
      <c r="G845">
        <v>47958</v>
      </c>
      <c r="H845">
        <v>100843</v>
      </c>
      <c r="I845" s="4"/>
      <c r="J845" s="22">
        <v>0.3743055555555555</v>
      </c>
      <c r="K845" s="22">
        <v>0.44930555555555557</v>
      </c>
      <c r="L845" s="4"/>
      <c r="M845" s="4"/>
      <c r="N845" t="s">
        <v>1719</v>
      </c>
      <c r="O845" s="4"/>
      <c r="P845" t="s">
        <v>254</v>
      </c>
      <c r="Q845">
        <v>5</v>
      </c>
    </row>
    <row r="846" spans="1:17" ht="14.25" customHeight="1" x14ac:dyDescent="0.25">
      <c r="A846" s="4"/>
      <c r="B846" s="21">
        <v>44222</v>
      </c>
      <c r="C846" s="5">
        <f t="shared" si="26"/>
        <v>5</v>
      </c>
      <c r="D846" s="5">
        <f t="shared" si="27"/>
        <v>3</v>
      </c>
      <c r="E846" s="1" t="s">
        <v>7</v>
      </c>
      <c r="F846" s="1" t="s">
        <v>16</v>
      </c>
      <c r="G846">
        <v>47960</v>
      </c>
      <c r="H846">
        <v>100846</v>
      </c>
      <c r="I846" s="4"/>
      <c r="J846" s="22">
        <v>0.4291666666666667</v>
      </c>
      <c r="K846" s="22">
        <v>0.35486111111111113</v>
      </c>
      <c r="L846" s="4"/>
      <c r="M846" s="4"/>
      <c r="N846" t="s">
        <v>1720</v>
      </c>
      <c r="O846" s="4"/>
      <c r="P846" t="s">
        <v>589</v>
      </c>
      <c r="Q846">
        <v>24</v>
      </c>
    </row>
    <row r="847" spans="1:17" ht="14.25" customHeight="1" x14ac:dyDescent="0.25">
      <c r="A847" s="4"/>
      <c r="B847" s="21">
        <v>44222</v>
      </c>
      <c r="C847" s="5">
        <f t="shared" si="26"/>
        <v>5</v>
      </c>
      <c r="D847" s="5">
        <f t="shared" si="27"/>
        <v>3</v>
      </c>
      <c r="E847" s="1" t="s">
        <v>5</v>
      </c>
      <c r="F847" s="1" t="s">
        <v>17</v>
      </c>
      <c r="G847">
        <v>47962</v>
      </c>
      <c r="H847">
        <v>100847</v>
      </c>
      <c r="I847" s="4"/>
      <c r="J847" s="22">
        <v>0.25486111111111109</v>
      </c>
      <c r="K847" s="22">
        <v>0.14930555555555555</v>
      </c>
      <c r="L847" s="4"/>
      <c r="M847" s="4"/>
      <c r="N847" t="s">
        <v>1721</v>
      </c>
      <c r="O847" s="4"/>
      <c r="P847" t="s">
        <v>763</v>
      </c>
      <c r="Q847">
        <v>22</v>
      </c>
    </row>
    <row r="848" spans="1:17" ht="14.25" customHeight="1" x14ac:dyDescent="0.25">
      <c r="A848" s="4"/>
      <c r="B848" s="21">
        <v>44222</v>
      </c>
      <c r="C848" s="5">
        <f t="shared" si="26"/>
        <v>5</v>
      </c>
      <c r="D848" s="5">
        <f t="shared" si="27"/>
        <v>3</v>
      </c>
      <c r="E848" s="1" t="s">
        <v>7</v>
      </c>
      <c r="F848" s="1" t="s">
        <v>15</v>
      </c>
      <c r="G848">
        <v>47963</v>
      </c>
      <c r="H848">
        <v>100847</v>
      </c>
      <c r="I848" s="4"/>
      <c r="J848" s="22">
        <v>0.4375</v>
      </c>
      <c r="K848" s="22">
        <v>0.29444444444444445</v>
      </c>
      <c r="L848" s="4"/>
      <c r="M848" s="4"/>
      <c r="N848" t="s">
        <v>1722</v>
      </c>
      <c r="O848" s="4"/>
      <c r="P848" t="s">
        <v>764</v>
      </c>
      <c r="Q848">
        <v>24</v>
      </c>
    </row>
    <row r="849" spans="1:17" ht="14.25" customHeight="1" x14ac:dyDescent="0.25">
      <c r="A849" s="4"/>
      <c r="B849" s="21">
        <v>44222</v>
      </c>
      <c r="C849" s="5">
        <f t="shared" si="26"/>
        <v>5</v>
      </c>
      <c r="D849" s="5">
        <f t="shared" si="27"/>
        <v>3</v>
      </c>
      <c r="E849" s="1" t="s">
        <v>7</v>
      </c>
      <c r="F849" s="1" t="s">
        <v>14</v>
      </c>
      <c r="G849">
        <v>47963</v>
      </c>
      <c r="H849">
        <v>100850</v>
      </c>
      <c r="I849" s="4"/>
      <c r="J849" s="22">
        <v>0.34097222222222223</v>
      </c>
      <c r="K849" s="22">
        <v>0.98541666666666661</v>
      </c>
      <c r="L849" s="4"/>
      <c r="M849" s="4"/>
      <c r="N849" t="s">
        <v>1723</v>
      </c>
      <c r="O849" s="4"/>
      <c r="P849" t="s">
        <v>765</v>
      </c>
      <c r="Q849">
        <v>19</v>
      </c>
    </row>
    <row r="850" spans="1:17" ht="14.25" customHeight="1" x14ac:dyDescent="0.25">
      <c r="A850" s="4"/>
      <c r="B850" s="21">
        <v>44222</v>
      </c>
      <c r="C850" s="5">
        <f t="shared" si="26"/>
        <v>5</v>
      </c>
      <c r="D850" s="5">
        <f t="shared" si="27"/>
        <v>3</v>
      </c>
      <c r="E850" s="1" t="s">
        <v>6</v>
      </c>
      <c r="F850" s="1" t="s">
        <v>11</v>
      </c>
      <c r="G850">
        <v>47965</v>
      </c>
      <c r="H850">
        <v>100851</v>
      </c>
      <c r="I850" s="4"/>
      <c r="J850" s="22">
        <v>0.37777777777777777</v>
      </c>
      <c r="K850" s="22">
        <v>0.64583333333333337</v>
      </c>
      <c r="L850" s="4"/>
      <c r="M850" s="4"/>
      <c r="N850" t="s">
        <v>1724</v>
      </c>
      <c r="O850" s="4"/>
      <c r="P850" t="s">
        <v>94</v>
      </c>
      <c r="Q850">
        <v>33</v>
      </c>
    </row>
    <row r="851" spans="1:17" ht="14.25" customHeight="1" x14ac:dyDescent="0.25">
      <c r="A851" s="4"/>
      <c r="B851" s="21">
        <v>44222</v>
      </c>
      <c r="C851" s="5">
        <f t="shared" si="26"/>
        <v>5</v>
      </c>
      <c r="D851" s="5">
        <f t="shared" si="27"/>
        <v>3</v>
      </c>
      <c r="E851" s="1" t="s">
        <v>6</v>
      </c>
      <c r="F851" s="1" t="s">
        <v>13</v>
      </c>
      <c r="G851">
        <v>47966</v>
      </c>
      <c r="H851">
        <v>100857</v>
      </c>
      <c r="I851" s="4"/>
      <c r="J851" s="22">
        <v>0.27638888888888885</v>
      </c>
      <c r="K851" s="22">
        <v>0.48194444444444445</v>
      </c>
      <c r="L851" s="4"/>
      <c r="M851" s="4"/>
      <c r="N851" t="s">
        <v>1725</v>
      </c>
      <c r="O851" s="4"/>
      <c r="P851" t="s">
        <v>766</v>
      </c>
      <c r="Q851">
        <v>24</v>
      </c>
    </row>
    <row r="852" spans="1:17" ht="14.25" customHeight="1" x14ac:dyDescent="0.25">
      <c r="A852" s="4"/>
      <c r="B852" s="21">
        <v>44222</v>
      </c>
      <c r="C852" s="5">
        <f t="shared" si="26"/>
        <v>5</v>
      </c>
      <c r="D852" s="5">
        <f t="shared" si="27"/>
        <v>3</v>
      </c>
      <c r="E852" s="1" t="s">
        <v>7</v>
      </c>
      <c r="F852" s="1" t="s">
        <v>15</v>
      </c>
      <c r="G852">
        <v>47967</v>
      </c>
      <c r="H852">
        <v>100857</v>
      </c>
      <c r="I852" s="4"/>
      <c r="J852" s="22">
        <v>0.36319444444444443</v>
      </c>
      <c r="K852" s="22">
        <v>0.95486111111111116</v>
      </c>
      <c r="L852" s="4"/>
      <c r="M852" s="4"/>
      <c r="N852" t="s">
        <v>1726</v>
      </c>
      <c r="O852" s="4"/>
      <c r="P852" t="s">
        <v>509</v>
      </c>
      <c r="Q852">
        <v>1</v>
      </c>
    </row>
    <row r="853" spans="1:17" ht="14.25" customHeight="1" x14ac:dyDescent="0.25">
      <c r="A853" s="4"/>
      <c r="B853" s="21">
        <v>44222</v>
      </c>
      <c r="C853" s="5">
        <f t="shared" si="26"/>
        <v>5</v>
      </c>
      <c r="D853" s="5">
        <f t="shared" si="27"/>
        <v>3</v>
      </c>
      <c r="E853" s="1" t="s">
        <v>6</v>
      </c>
      <c r="F853" s="1" t="s">
        <v>11</v>
      </c>
      <c r="G853">
        <v>47967</v>
      </c>
      <c r="H853">
        <v>100858</v>
      </c>
      <c r="I853" s="4"/>
      <c r="J853" s="22">
        <v>0.40763888888888888</v>
      </c>
      <c r="K853" s="22">
        <v>0.88611111111111107</v>
      </c>
      <c r="L853" s="4"/>
      <c r="M853" s="4"/>
      <c r="N853" t="s">
        <v>1727</v>
      </c>
      <c r="O853" s="4"/>
      <c r="P853" t="s">
        <v>741</v>
      </c>
      <c r="Q853">
        <v>20</v>
      </c>
    </row>
    <row r="854" spans="1:17" ht="14.25" customHeight="1" x14ac:dyDescent="0.25">
      <c r="A854" s="4"/>
      <c r="B854" s="21">
        <v>44223</v>
      </c>
      <c r="C854" s="5">
        <f t="shared" si="26"/>
        <v>5</v>
      </c>
      <c r="D854" s="5">
        <f t="shared" si="27"/>
        <v>4</v>
      </c>
      <c r="E854" s="1" t="s">
        <v>5</v>
      </c>
      <c r="F854" s="1" t="s">
        <v>17</v>
      </c>
      <c r="G854">
        <v>47968</v>
      </c>
      <c r="H854">
        <v>100858</v>
      </c>
      <c r="I854" s="4"/>
      <c r="J854" s="22">
        <v>0.39097222222222222</v>
      </c>
      <c r="K854" s="22">
        <v>0.57013888888888886</v>
      </c>
      <c r="L854" s="4"/>
      <c r="M854" s="4"/>
      <c r="N854" t="s">
        <v>1728</v>
      </c>
      <c r="O854" s="4"/>
      <c r="P854" t="s">
        <v>767</v>
      </c>
      <c r="Q854">
        <v>4</v>
      </c>
    </row>
    <row r="855" spans="1:17" ht="14.25" customHeight="1" x14ac:dyDescent="0.25">
      <c r="A855" s="4"/>
      <c r="B855" s="21">
        <v>44223</v>
      </c>
      <c r="C855" s="5">
        <f t="shared" si="26"/>
        <v>5</v>
      </c>
      <c r="D855" s="5">
        <f t="shared" si="27"/>
        <v>4</v>
      </c>
      <c r="E855" s="1" t="s">
        <v>5</v>
      </c>
      <c r="F855" s="1" t="s">
        <v>20</v>
      </c>
      <c r="G855">
        <v>47968</v>
      </c>
      <c r="H855">
        <v>100859</v>
      </c>
      <c r="I855" s="4"/>
      <c r="J855" s="22">
        <v>0.35694444444444445</v>
      </c>
      <c r="K855" s="22">
        <v>0.77222222222222225</v>
      </c>
      <c r="L855" s="4"/>
      <c r="M855" s="4"/>
      <c r="N855" t="s">
        <v>1729</v>
      </c>
      <c r="O855" s="4"/>
      <c r="P855" t="s">
        <v>768</v>
      </c>
      <c r="Q855">
        <v>33</v>
      </c>
    </row>
    <row r="856" spans="1:17" ht="14.25" customHeight="1" x14ac:dyDescent="0.25">
      <c r="A856" s="4"/>
      <c r="B856" s="21">
        <v>44223</v>
      </c>
      <c r="C856" s="5">
        <f t="shared" si="26"/>
        <v>5</v>
      </c>
      <c r="D856" s="5">
        <f t="shared" si="27"/>
        <v>4</v>
      </c>
      <c r="E856" s="1" t="s">
        <v>7</v>
      </c>
      <c r="F856" s="1" t="s">
        <v>16</v>
      </c>
      <c r="G856">
        <v>47968</v>
      </c>
      <c r="H856">
        <v>100859</v>
      </c>
      <c r="I856" s="4"/>
      <c r="J856" s="22">
        <v>0.26250000000000001</v>
      </c>
      <c r="K856" s="22">
        <v>0.17152777777777775</v>
      </c>
      <c r="L856" s="4"/>
      <c r="M856" s="4"/>
      <c r="N856" t="s">
        <v>1730</v>
      </c>
      <c r="O856" s="4"/>
      <c r="P856" t="s">
        <v>769</v>
      </c>
      <c r="Q856">
        <v>10</v>
      </c>
    </row>
    <row r="857" spans="1:17" ht="14.25" customHeight="1" x14ac:dyDescent="0.25">
      <c r="A857" s="4"/>
      <c r="B857" s="21">
        <v>44223</v>
      </c>
      <c r="C857" s="5">
        <f t="shared" si="26"/>
        <v>5</v>
      </c>
      <c r="D857" s="5">
        <f t="shared" si="27"/>
        <v>4</v>
      </c>
      <c r="E857" s="1" t="s">
        <v>6</v>
      </c>
      <c r="F857" s="1" t="s">
        <v>13</v>
      </c>
      <c r="G857">
        <v>47969</v>
      </c>
      <c r="H857">
        <v>100860</v>
      </c>
      <c r="I857" s="4"/>
      <c r="J857" s="22">
        <v>0.36736111111111108</v>
      </c>
      <c r="K857" s="22">
        <v>0.7104166666666667</v>
      </c>
      <c r="L857" s="4"/>
      <c r="M857" s="4"/>
      <c r="N857" t="s">
        <v>1731</v>
      </c>
      <c r="O857" s="4"/>
      <c r="P857" t="s">
        <v>770</v>
      </c>
      <c r="Q857">
        <v>33</v>
      </c>
    </row>
    <row r="858" spans="1:17" ht="14.25" customHeight="1" x14ac:dyDescent="0.25">
      <c r="A858" s="4"/>
      <c r="B858" s="21">
        <v>44223</v>
      </c>
      <c r="C858" s="5">
        <f t="shared" si="26"/>
        <v>5</v>
      </c>
      <c r="D858" s="5">
        <f t="shared" si="27"/>
        <v>4</v>
      </c>
      <c r="E858" s="1" t="s">
        <v>5</v>
      </c>
      <c r="F858" s="1" t="s">
        <v>20</v>
      </c>
      <c r="G858">
        <v>47970</v>
      </c>
      <c r="H858">
        <v>100861</v>
      </c>
      <c r="I858" s="4"/>
      <c r="J858" s="22">
        <v>0.30208333333333331</v>
      </c>
      <c r="K858" s="22">
        <v>0.76874999999999993</v>
      </c>
      <c r="L858" s="4"/>
      <c r="M858" s="4"/>
      <c r="N858" t="s">
        <v>1732</v>
      </c>
      <c r="O858" s="4"/>
      <c r="P858" t="s">
        <v>693</v>
      </c>
      <c r="Q858">
        <v>15</v>
      </c>
    </row>
    <row r="859" spans="1:17" ht="14.25" customHeight="1" x14ac:dyDescent="0.25">
      <c r="A859" s="4"/>
      <c r="B859" s="21">
        <v>44223</v>
      </c>
      <c r="C859" s="5">
        <f t="shared" si="26"/>
        <v>5</v>
      </c>
      <c r="D859" s="5">
        <f t="shared" si="27"/>
        <v>4</v>
      </c>
      <c r="E859" s="1" t="s">
        <v>7</v>
      </c>
      <c r="F859" s="1" t="s">
        <v>15</v>
      </c>
      <c r="G859">
        <v>47970</v>
      </c>
      <c r="H859">
        <v>100862</v>
      </c>
      <c r="I859" s="4"/>
      <c r="J859" s="22">
        <v>0.27152777777777776</v>
      </c>
      <c r="K859" s="22">
        <v>0.4909722222222222</v>
      </c>
      <c r="L859" s="4"/>
      <c r="M859" s="4"/>
      <c r="N859" t="s">
        <v>1733</v>
      </c>
      <c r="O859" s="4"/>
      <c r="P859" t="s">
        <v>771</v>
      </c>
      <c r="Q859">
        <v>7</v>
      </c>
    </row>
    <row r="860" spans="1:17" ht="14.25" customHeight="1" x14ac:dyDescent="0.25">
      <c r="A860" s="4"/>
      <c r="B860" s="21">
        <v>44223</v>
      </c>
      <c r="C860" s="5">
        <f t="shared" si="26"/>
        <v>5</v>
      </c>
      <c r="D860" s="5">
        <f t="shared" si="27"/>
        <v>4</v>
      </c>
      <c r="E860" s="1" t="s">
        <v>6</v>
      </c>
      <c r="F860" s="1" t="s">
        <v>11</v>
      </c>
      <c r="G860">
        <v>47971</v>
      </c>
      <c r="H860">
        <v>100862</v>
      </c>
      <c r="I860" s="4"/>
      <c r="J860" s="22">
        <v>0.38125000000000003</v>
      </c>
      <c r="K860" s="22">
        <v>0.52708333333333335</v>
      </c>
      <c r="L860" s="4"/>
      <c r="M860" s="4"/>
      <c r="N860" t="s">
        <v>1734</v>
      </c>
      <c r="O860" s="4"/>
      <c r="P860" t="s">
        <v>772</v>
      </c>
      <c r="Q860">
        <v>13</v>
      </c>
    </row>
    <row r="861" spans="1:17" ht="14.25" customHeight="1" x14ac:dyDescent="0.25">
      <c r="A861" s="4"/>
      <c r="B861" s="21">
        <v>44223</v>
      </c>
      <c r="C861" s="5">
        <f t="shared" si="26"/>
        <v>5</v>
      </c>
      <c r="D861" s="5">
        <f t="shared" si="27"/>
        <v>4</v>
      </c>
      <c r="E861" s="1" t="s">
        <v>6</v>
      </c>
      <c r="F861" s="1" t="s">
        <v>13</v>
      </c>
      <c r="G861">
        <v>47972</v>
      </c>
      <c r="H861">
        <v>100863</v>
      </c>
      <c r="I861" s="4"/>
      <c r="J861" s="22">
        <v>0.39305555555555555</v>
      </c>
      <c r="K861" s="22">
        <v>0.42291666666666666</v>
      </c>
      <c r="L861" s="4"/>
      <c r="M861" s="4"/>
      <c r="N861" t="s">
        <v>1735</v>
      </c>
      <c r="O861" s="4"/>
      <c r="P861" t="s">
        <v>105</v>
      </c>
      <c r="Q861">
        <v>32</v>
      </c>
    </row>
    <row r="862" spans="1:17" ht="14.25" customHeight="1" x14ac:dyDescent="0.25">
      <c r="A862" s="4"/>
      <c r="B862" s="21">
        <v>44223</v>
      </c>
      <c r="C862" s="5">
        <f t="shared" si="26"/>
        <v>5</v>
      </c>
      <c r="D862" s="5">
        <f t="shared" si="27"/>
        <v>4</v>
      </c>
      <c r="E862" s="1" t="s">
        <v>7</v>
      </c>
      <c r="F862" s="1" t="s">
        <v>16</v>
      </c>
      <c r="G862">
        <v>47975</v>
      </c>
      <c r="H862">
        <v>100864</v>
      </c>
      <c r="I862" s="4"/>
      <c r="J862" s="22">
        <v>0.25208333333333333</v>
      </c>
      <c r="K862" s="22">
        <v>0.24097222222222223</v>
      </c>
      <c r="L862" s="4"/>
      <c r="M862" s="4"/>
      <c r="N862" t="s">
        <v>1736</v>
      </c>
      <c r="O862" s="4"/>
      <c r="P862" t="s">
        <v>773</v>
      </c>
      <c r="Q862">
        <v>8</v>
      </c>
    </row>
    <row r="863" spans="1:17" ht="14.25" customHeight="1" x14ac:dyDescent="0.25">
      <c r="A863" s="4"/>
      <c r="B863" s="21">
        <v>44223</v>
      </c>
      <c r="C863" s="5">
        <f t="shared" si="26"/>
        <v>5</v>
      </c>
      <c r="D863" s="5">
        <f t="shared" si="27"/>
        <v>4</v>
      </c>
      <c r="E863" s="1" t="s">
        <v>5</v>
      </c>
      <c r="F863" s="1" t="s">
        <v>19</v>
      </c>
      <c r="G863">
        <v>47975</v>
      </c>
      <c r="H863">
        <v>100865</v>
      </c>
      <c r="I863" s="4"/>
      <c r="J863" s="22">
        <v>0.41805555555555557</v>
      </c>
      <c r="K863" s="22">
        <v>0.31388888888888888</v>
      </c>
      <c r="L863" s="4"/>
      <c r="M863" s="4"/>
      <c r="N863" t="s">
        <v>1737</v>
      </c>
      <c r="O863" s="4"/>
      <c r="P863" t="s">
        <v>774</v>
      </c>
      <c r="Q863">
        <v>11</v>
      </c>
    </row>
    <row r="864" spans="1:17" ht="14.25" customHeight="1" x14ac:dyDescent="0.25">
      <c r="A864" s="4"/>
      <c r="B864" s="21">
        <v>44223</v>
      </c>
      <c r="C864" s="5">
        <f t="shared" si="26"/>
        <v>5</v>
      </c>
      <c r="D864" s="5">
        <f t="shared" si="27"/>
        <v>4</v>
      </c>
      <c r="E864" s="1" t="s">
        <v>6</v>
      </c>
      <c r="F864" s="1" t="s">
        <v>12</v>
      </c>
      <c r="G864">
        <v>47975</v>
      </c>
      <c r="H864">
        <v>100865</v>
      </c>
      <c r="I864" s="4"/>
      <c r="J864" s="22">
        <v>0.45208333333333334</v>
      </c>
      <c r="K864" s="22">
        <v>0.22638888888888889</v>
      </c>
      <c r="L864" s="4"/>
      <c r="M864" s="4"/>
      <c r="N864" t="s">
        <v>1738</v>
      </c>
      <c r="O864" s="4"/>
      <c r="P864" t="s">
        <v>331</v>
      </c>
      <c r="Q864">
        <v>8</v>
      </c>
    </row>
    <row r="865" spans="1:17" ht="14.25" customHeight="1" x14ac:dyDescent="0.25">
      <c r="A865" s="4"/>
      <c r="B865" s="21">
        <v>44223</v>
      </c>
      <c r="C865" s="5">
        <f t="shared" si="26"/>
        <v>5</v>
      </c>
      <c r="D865" s="5">
        <f t="shared" si="27"/>
        <v>4</v>
      </c>
      <c r="E865" s="1" t="s">
        <v>6</v>
      </c>
      <c r="F865" s="1" t="s">
        <v>13</v>
      </c>
      <c r="G865">
        <v>47975</v>
      </c>
      <c r="H865">
        <v>100865</v>
      </c>
      <c r="I865" s="4"/>
      <c r="J865" s="22">
        <v>0.27499999999999997</v>
      </c>
      <c r="K865" s="22">
        <v>0.73125000000000007</v>
      </c>
      <c r="L865" s="4"/>
      <c r="M865" s="4"/>
      <c r="N865" t="s">
        <v>1739</v>
      </c>
      <c r="O865" s="4"/>
      <c r="P865" t="s">
        <v>334</v>
      </c>
      <c r="Q865">
        <v>1</v>
      </c>
    </row>
    <row r="866" spans="1:17" ht="14.25" customHeight="1" x14ac:dyDescent="0.25">
      <c r="A866" s="4"/>
      <c r="B866" s="21">
        <v>44223</v>
      </c>
      <c r="C866" s="5">
        <f t="shared" si="26"/>
        <v>5</v>
      </c>
      <c r="D866" s="5">
        <f t="shared" si="27"/>
        <v>4</v>
      </c>
      <c r="E866" s="1" t="s">
        <v>6</v>
      </c>
      <c r="F866" s="1" t="s">
        <v>13</v>
      </c>
      <c r="G866">
        <v>47977</v>
      </c>
      <c r="H866">
        <v>100865</v>
      </c>
      <c r="I866" s="4"/>
      <c r="J866" s="22">
        <v>0.25277777777777777</v>
      </c>
      <c r="K866" s="22">
        <v>0.55069444444444449</v>
      </c>
      <c r="L866" s="4"/>
      <c r="M866" s="4"/>
      <c r="N866" t="s">
        <v>1740</v>
      </c>
      <c r="O866" s="4"/>
      <c r="P866" t="s">
        <v>775</v>
      </c>
      <c r="Q866">
        <v>22</v>
      </c>
    </row>
    <row r="867" spans="1:17" ht="14.25" customHeight="1" x14ac:dyDescent="0.25">
      <c r="A867" s="4"/>
      <c r="B867" s="21">
        <v>44223</v>
      </c>
      <c r="C867" s="5">
        <f t="shared" si="26"/>
        <v>5</v>
      </c>
      <c r="D867" s="5">
        <f t="shared" si="27"/>
        <v>4</v>
      </c>
      <c r="E867" s="1" t="s">
        <v>6</v>
      </c>
      <c r="F867" s="1" t="s">
        <v>13</v>
      </c>
      <c r="G867">
        <v>47980</v>
      </c>
      <c r="H867">
        <v>100866</v>
      </c>
      <c r="I867" s="4"/>
      <c r="J867" s="22">
        <v>0.3972222222222222</v>
      </c>
      <c r="K867" s="22">
        <v>0.1673611111111111</v>
      </c>
      <c r="L867" s="4"/>
      <c r="M867" s="4"/>
      <c r="N867" t="s">
        <v>1741</v>
      </c>
      <c r="O867" s="4"/>
      <c r="P867" t="s">
        <v>325</v>
      </c>
      <c r="Q867">
        <v>19</v>
      </c>
    </row>
    <row r="868" spans="1:17" ht="14.25" customHeight="1" x14ac:dyDescent="0.25">
      <c r="A868" s="4"/>
      <c r="B868" s="21">
        <v>44223</v>
      </c>
      <c r="C868" s="5">
        <f t="shared" si="26"/>
        <v>5</v>
      </c>
      <c r="D868" s="5">
        <f t="shared" si="27"/>
        <v>4</v>
      </c>
      <c r="E868" s="1" t="s">
        <v>5</v>
      </c>
      <c r="F868" s="1" t="s">
        <v>17</v>
      </c>
      <c r="G868">
        <v>47980</v>
      </c>
      <c r="H868">
        <v>100866</v>
      </c>
      <c r="I868" s="4"/>
      <c r="J868" s="22">
        <v>0.40138888888888885</v>
      </c>
      <c r="K868" s="22">
        <v>0.36458333333333331</v>
      </c>
      <c r="L868" s="4"/>
      <c r="M868" s="4"/>
      <c r="N868" t="s">
        <v>1742</v>
      </c>
      <c r="O868" s="4"/>
      <c r="P868" t="s">
        <v>776</v>
      </c>
      <c r="Q868">
        <v>15</v>
      </c>
    </row>
    <row r="869" spans="1:17" ht="14.25" customHeight="1" x14ac:dyDescent="0.25">
      <c r="A869" s="4"/>
      <c r="B869" s="21">
        <v>44223</v>
      </c>
      <c r="C869" s="5">
        <f t="shared" si="26"/>
        <v>5</v>
      </c>
      <c r="D869" s="5">
        <f t="shared" si="27"/>
        <v>4</v>
      </c>
      <c r="E869" s="1" t="s">
        <v>5</v>
      </c>
      <c r="F869" s="1" t="s">
        <v>18</v>
      </c>
      <c r="G869">
        <v>47980</v>
      </c>
      <c r="H869">
        <v>100867</v>
      </c>
      <c r="I869" s="4"/>
      <c r="J869" s="22">
        <v>0.27638888888888885</v>
      </c>
      <c r="K869" s="22">
        <v>0.40208333333333335</v>
      </c>
      <c r="L869" s="4"/>
      <c r="M869" s="4"/>
      <c r="N869" t="s">
        <v>1743</v>
      </c>
      <c r="O869" s="4"/>
      <c r="P869" t="s">
        <v>777</v>
      </c>
      <c r="Q869">
        <v>23</v>
      </c>
    </row>
    <row r="870" spans="1:17" ht="14.25" customHeight="1" x14ac:dyDescent="0.25">
      <c r="A870" s="4"/>
      <c r="B870" s="21">
        <v>44223</v>
      </c>
      <c r="C870" s="5">
        <f t="shared" si="26"/>
        <v>5</v>
      </c>
      <c r="D870" s="5">
        <f t="shared" si="27"/>
        <v>4</v>
      </c>
      <c r="E870" s="1" t="s">
        <v>6</v>
      </c>
      <c r="F870" s="1" t="s">
        <v>13</v>
      </c>
      <c r="G870">
        <v>47982</v>
      </c>
      <c r="H870">
        <v>100868</v>
      </c>
      <c r="I870" s="4"/>
      <c r="J870" s="22">
        <v>0.27569444444444446</v>
      </c>
      <c r="K870" s="22">
        <v>0.31875000000000003</v>
      </c>
      <c r="L870" s="4"/>
      <c r="M870" s="4"/>
      <c r="N870" t="s">
        <v>1744</v>
      </c>
      <c r="O870" s="4"/>
      <c r="P870" t="s">
        <v>778</v>
      </c>
      <c r="Q870">
        <v>18</v>
      </c>
    </row>
    <row r="871" spans="1:17" ht="14.25" customHeight="1" x14ac:dyDescent="0.25">
      <c r="A871" s="4"/>
      <c r="B871" s="21">
        <v>44223</v>
      </c>
      <c r="C871" s="5">
        <f t="shared" si="26"/>
        <v>5</v>
      </c>
      <c r="D871" s="5">
        <f t="shared" si="27"/>
        <v>4</v>
      </c>
      <c r="E871" s="1" t="s">
        <v>7</v>
      </c>
      <c r="F871" s="1" t="s">
        <v>14</v>
      </c>
      <c r="G871">
        <v>47982</v>
      </c>
      <c r="H871">
        <v>100868</v>
      </c>
      <c r="I871" s="4"/>
      <c r="J871" s="22">
        <v>0.34791666666666665</v>
      </c>
      <c r="K871" s="22">
        <v>0.53749999999999998</v>
      </c>
      <c r="L871" s="4"/>
      <c r="M871" s="4"/>
      <c r="N871" t="s">
        <v>1745</v>
      </c>
      <c r="O871" s="4"/>
      <c r="P871" t="s">
        <v>779</v>
      </c>
      <c r="Q871">
        <v>21</v>
      </c>
    </row>
    <row r="872" spans="1:17" ht="14.25" customHeight="1" x14ac:dyDescent="0.25">
      <c r="A872" s="4"/>
      <c r="B872" s="21">
        <v>44223</v>
      </c>
      <c r="C872" s="5">
        <f t="shared" si="26"/>
        <v>5</v>
      </c>
      <c r="D872" s="5">
        <f t="shared" si="27"/>
        <v>4</v>
      </c>
      <c r="E872" s="1" t="s">
        <v>7</v>
      </c>
      <c r="F872" s="1" t="s">
        <v>14</v>
      </c>
      <c r="G872">
        <v>47983</v>
      </c>
      <c r="H872">
        <v>100871</v>
      </c>
      <c r="I872" s="4"/>
      <c r="J872" s="22">
        <v>0.45208333333333334</v>
      </c>
      <c r="K872" s="22">
        <v>0.57777777777777783</v>
      </c>
      <c r="L872" s="4"/>
      <c r="M872" s="4"/>
      <c r="N872" t="s">
        <v>1746</v>
      </c>
      <c r="O872" s="4"/>
      <c r="P872" t="s">
        <v>96</v>
      </c>
      <c r="Q872">
        <v>26</v>
      </c>
    </row>
    <row r="873" spans="1:17" ht="14.25" customHeight="1" x14ac:dyDescent="0.25">
      <c r="A873" s="4"/>
      <c r="B873" s="21">
        <v>44223</v>
      </c>
      <c r="C873" s="5">
        <f t="shared" si="26"/>
        <v>5</v>
      </c>
      <c r="D873" s="5">
        <f t="shared" si="27"/>
        <v>4</v>
      </c>
      <c r="E873" s="1" t="s">
        <v>6</v>
      </c>
      <c r="F873" s="1" t="s">
        <v>11</v>
      </c>
      <c r="G873">
        <v>47984</v>
      </c>
      <c r="H873">
        <v>100872</v>
      </c>
      <c r="I873" s="4"/>
      <c r="J873" s="22">
        <v>0.49652777777777773</v>
      </c>
      <c r="K873" s="22">
        <v>0.20208333333333331</v>
      </c>
      <c r="L873" s="4"/>
      <c r="M873" s="4"/>
      <c r="N873" t="s">
        <v>1747</v>
      </c>
      <c r="O873" s="4"/>
      <c r="P873" t="s">
        <v>173</v>
      </c>
      <c r="Q873">
        <v>29</v>
      </c>
    </row>
    <row r="874" spans="1:17" ht="14.25" customHeight="1" x14ac:dyDescent="0.25">
      <c r="A874" s="4"/>
      <c r="B874" s="21">
        <v>44223</v>
      </c>
      <c r="C874" s="5">
        <f t="shared" si="26"/>
        <v>5</v>
      </c>
      <c r="D874" s="5">
        <f t="shared" si="27"/>
        <v>4</v>
      </c>
      <c r="E874" s="1" t="s">
        <v>7</v>
      </c>
      <c r="F874" s="1" t="s">
        <v>14</v>
      </c>
      <c r="G874">
        <v>47984</v>
      </c>
      <c r="H874">
        <v>100873</v>
      </c>
      <c r="I874" s="4"/>
      <c r="J874" s="22">
        <v>0.2951388888888889</v>
      </c>
      <c r="K874" s="22">
        <v>0.9819444444444444</v>
      </c>
      <c r="L874" s="4"/>
      <c r="M874" s="4"/>
      <c r="N874" t="s">
        <v>1748</v>
      </c>
      <c r="O874" s="4"/>
      <c r="P874" t="s">
        <v>780</v>
      </c>
      <c r="Q874">
        <v>24</v>
      </c>
    </row>
    <row r="875" spans="1:17" ht="14.25" customHeight="1" x14ac:dyDescent="0.25">
      <c r="A875" s="4"/>
      <c r="B875" s="21">
        <v>44223</v>
      </c>
      <c r="C875" s="5">
        <f t="shared" si="26"/>
        <v>5</v>
      </c>
      <c r="D875" s="5">
        <f t="shared" si="27"/>
        <v>4</v>
      </c>
      <c r="E875" s="1" t="s">
        <v>5</v>
      </c>
      <c r="F875" s="1" t="s">
        <v>20</v>
      </c>
      <c r="G875">
        <v>47984</v>
      </c>
      <c r="H875">
        <v>100874</v>
      </c>
      <c r="I875" s="4"/>
      <c r="J875" s="22">
        <v>0.30972222222222223</v>
      </c>
      <c r="K875" s="22">
        <v>0.29166666666666669</v>
      </c>
      <c r="L875" s="4"/>
      <c r="M875" s="4"/>
      <c r="N875" t="s">
        <v>1749</v>
      </c>
      <c r="O875" s="4"/>
      <c r="P875" t="s">
        <v>781</v>
      </c>
      <c r="Q875">
        <v>28</v>
      </c>
    </row>
    <row r="876" spans="1:17" ht="14.25" customHeight="1" x14ac:dyDescent="0.25">
      <c r="A876" s="4"/>
      <c r="B876" s="21">
        <v>44223</v>
      </c>
      <c r="C876" s="5">
        <f t="shared" si="26"/>
        <v>5</v>
      </c>
      <c r="D876" s="5">
        <f t="shared" si="27"/>
        <v>4</v>
      </c>
      <c r="E876" s="1" t="s">
        <v>7</v>
      </c>
      <c r="F876" s="1" t="s">
        <v>15</v>
      </c>
      <c r="G876">
        <v>47985</v>
      </c>
      <c r="H876">
        <v>100875</v>
      </c>
      <c r="I876" s="4"/>
      <c r="J876" s="22">
        <v>0.38472222222222219</v>
      </c>
      <c r="K876" s="22">
        <v>0.57708333333333328</v>
      </c>
      <c r="L876" s="4"/>
      <c r="M876" s="4"/>
      <c r="N876" t="s">
        <v>1750</v>
      </c>
      <c r="O876" s="4"/>
      <c r="P876" t="s">
        <v>782</v>
      </c>
      <c r="Q876">
        <v>7</v>
      </c>
    </row>
    <row r="877" spans="1:17" ht="14.25" customHeight="1" x14ac:dyDescent="0.25">
      <c r="A877" s="4"/>
      <c r="B877" s="21">
        <v>44223</v>
      </c>
      <c r="C877" s="5">
        <f t="shared" si="26"/>
        <v>5</v>
      </c>
      <c r="D877" s="5">
        <f t="shared" si="27"/>
        <v>4</v>
      </c>
      <c r="E877" s="1" t="s">
        <v>7</v>
      </c>
      <c r="F877" s="1" t="s">
        <v>14</v>
      </c>
      <c r="G877">
        <v>47986</v>
      </c>
      <c r="H877">
        <v>100875</v>
      </c>
      <c r="I877" s="4"/>
      <c r="J877" s="22">
        <v>0.41805555555555557</v>
      </c>
      <c r="K877" s="22">
        <v>0.57916666666666672</v>
      </c>
      <c r="L877" s="4"/>
      <c r="M877" s="4"/>
      <c r="N877" t="s">
        <v>1751</v>
      </c>
      <c r="O877" s="4"/>
      <c r="P877" t="s">
        <v>783</v>
      </c>
      <c r="Q877">
        <v>14</v>
      </c>
    </row>
    <row r="878" spans="1:17" ht="14.25" customHeight="1" x14ac:dyDescent="0.25">
      <c r="A878" s="4"/>
      <c r="B878" s="21">
        <v>44223</v>
      </c>
      <c r="C878" s="5">
        <f t="shared" si="26"/>
        <v>5</v>
      </c>
      <c r="D878" s="5">
        <f t="shared" si="27"/>
        <v>4</v>
      </c>
      <c r="E878" s="1" t="s">
        <v>6</v>
      </c>
      <c r="F878" s="1" t="s">
        <v>12</v>
      </c>
      <c r="G878">
        <v>47987</v>
      </c>
      <c r="H878">
        <v>100877</v>
      </c>
      <c r="I878" s="4"/>
      <c r="J878" s="22">
        <v>0.3576388888888889</v>
      </c>
      <c r="K878" s="22">
        <v>0.18541666666666667</v>
      </c>
      <c r="L878" s="4"/>
      <c r="M878" s="4"/>
      <c r="N878" t="s">
        <v>1752</v>
      </c>
      <c r="O878" s="4"/>
      <c r="P878" t="s">
        <v>784</v>
      </c>
      <c r="Q878">
        <v>32</v>
      </c>
    </row>
    <row r="879" spans="1:17" ht="14.25" customHeight="1" x14ac:dyDescent="0.25">
      <c r="A879" s="4"/>
      <c r="B879" s="21">
        <v>44223</v>
      </c>
      <c r="C879" s="5">
        <f t="shared" si="26"/>
        <v>5</v>
      </c>
      <c r="D879" s="5">
        <f t="shared" si="27"/>
        <v>4</v>
      </c>
      <c r="E879" s="1" t="s">
        <v>5</v>
      </c>
      <c r="F879" s="1" t="s">
        <v>17</v>
      </c>
      <c r="G879">
        <v>47988</v>
      </c>
      <c r="H879">
        <v>100877</v>
      </c>
      <c r="I879" s="4"/>
      <c r="J879" s="22">
        <v>0.46388888888888885</v>
      </c>
      <c r="K879" s="22">
        <v>0.90277777777777779</v>
      </c>
      <c r="L879" s="4"/>
      <c r="M879" s="4"/>
      <c r="N879" t="s">
        <v>1753</v>
      </c>
      <c r="O879" s="4"/>
      <c r="P879" t="s">
        <v>264</v>
      </c>
      <c r="Q879">
        <v>32</v>
      </c>
    </row>
    <row r="880" spans="1:17" ht="14.25" customHeight="1" x14ac:dyDescent="0.25">
      <c r="A880" s="4"/>
      <c r="B880" s="21">
        <v>44223</v>
      </c>
      <c r="C880" s="5">
        <f t="shared" si="26"/>
        <v>5</v>
      </c>
      <c r="D880" s="5">
        <f t="shared" si="27"/>
        <v>4</v>
      </c>
      <c r="E880" s="1" t="s">
        <v>5</v>
      </c>
      <c r="F880" s="1" t="s">
        <v>18</v>
      </c>
      <c r="G880">
        <v>47988</v>
      </c>
      <c r="H880">
        <v>100878</v>
      </c>
      <c r="I880" s="4"/>
      <c r="J880" s="22">
        <v>0.41666666666666669</v>
      </c>
      <c r="K880" s="22">
        <v>0.71180555555555547</v>
      </c>
      <c r="L880" s="4"/>
      <c r="M880" s="4"/>
      <c r="N880" t="s">
        <v>1754</v>
      </c>
      <c r="O880" s="4"/>
      <c r="P880" t="s">
        <v>785</v>
      </c>
      <c r="Q880">
        <v>32</v>
      </c>
    </row>
    <row r="881" spans="1:17" ht="14.25" customHeight="1" x14ac:dyDescent="0.25">
      <c r="A881" s="4"/>
      <c r="B881" s="21">
        <v>44223</v>
      </c>
      <c r="C881" s="5">
        <f t="shared" si="26"/>
        <v>5</v>
      </c>
      <c r="D881" s="5">
        <f t="shared" si="27"/>
        <v>4</v>
      </c>
      <c r="E881" s="1" t="s">
        <v>5</v>
      </c>
      <c r="F881" s="1" t="s">
        <v>18</v>
      </c>
      <c r="G881">
        <v>47989</v>
      </c>
      <c r="H881">
        <v>100881</v>
      </c>
      <c r="I881" s="4"/>
      <c r="J881" s="22">
        <v>0.26041666666666669</v>
      </c>
      <c r="K881" s="22">
        <v>0.30694444444444441</v>
      </c>
      <c r="L881" s="4"/>
      <c r="M881" s="4"/>
      <c r="N881" t="s">
        <v>1755</v>
      </c>
      <c r="O881" s="4"/>
      <c r="P881" t="s">
        <v>786</v>
      </c>
      <c r="Q881">
        <v>7</v>
      </c>
    </row>
    <row r="882" spans="1:17" ht="14.25" customHeight="1" x14ac:dyDescent="0.25">
      <c r="A882" s="4"/>
      <c r="B882" s="21">
        <v>44223</v>
      </c>
      <c r="C882" s="5">
        <f t="shared" si="26"/>
        <v>5</v>
      </c>
      <c r="D882" s="5">
        <f t="shared" si="27"/>
        <v>4</v>
      </c>
      <c r="E882" s="1" t="s">
        <v>6</v>
      </c>
      <c r="F882" s="1" t="s">
        <v>13</v>
      </c>
      <c r="G882">
        <v>47990</v>
      </c>
      <c r="H882">
        <v>100883</v>
      </c>
      <c r="I882" s="4"/>
      <c r="J882" s="22">
        <v>0.47152777777777777</v>
      </c>
      <c r="K882" s="22">
        <v>0.21458333333333335</v>
      </c>
      <c r="L882" s="4"/>
      <c r="M882" s="4"/>
      <c r="N882" t="s">
        <v>1756</v>
      </c>
      <c r="O882" s="4"/>
      <c r="P882" t="s">
        <v>787</v>
      </c>
      <c r="Q882">
        <v>8</v>
      </c>
    </row>
    <row r="883" spans="1:17" ht="14.25" customHeight="1" x14ac:dyDescent="0.25">
      <c r="A883" s="4"/>
      <c r="B883" s="21">
        <v>44223</v>
      </c>
      <c r="C883" s="5">
        <f t="shared" si="26"/>
        <v>5</v>
      </c>
      <c r="D883" s="5">
        <f t="shared" si="27"/>
        <v>4</v>
      </c>
      <c r="E883" s="1" t="s">
        <v>5</v>
      </c>
      <c r="F883" s="1" t="s">
        <v>18</v>
      </c>
      <c r="G883">
        <v>47990</v>
      </c>
      <c r="H883">
        <v>100885</v>
      </c>
      <c r="I883" s="4"/>
      <c r="J883" s="22">
        <v>0.33611111111111108</v>
      </c>
      <c r="K883" s="22">
        <v>0.23750000000000002</v>
      </c>
      <c r="L883" s="4"/>
      <c r="M883" s="4"/>
      <c r="N883" t="s">
        <v>1757</v>
      </c>
      <c r="O883" s="4"/>
      <c r="P883" t="s">
        <v>788</v>
      </c>
      <c r="Q883">
        <v>16</v>
      </c>
    </row>
    <row r="884" spans="1:17" ht="14.25" customHeight="1" x14ac:dyDescent="0.25">
      <c r="A884" s="4"/>
      <c r="B884" s="21">
        <v>44223</v>
      </c>
      <c r="C884" s="5">
        <f t="shared" si="26"/>
        <v>5</v>
      </c>
      <c r="D884" s="5">
        <f t="shared" si="27"/>
        <v>4</v>
      </c>
      <c r="E884" s="1" t="s">
        <v>5</v>
      </c>
      <c r="F884" s="1" t="s">
        <v>19</v>
      </c>
      <c r="G884">
        <v>47990</v>
      </c>
      <c r="H884">
        <v>100885</v>
      </c>
      <c r="I884" s="4"/>
      <c r="J884" s="22">
        <v>0.42083333333333334</v>
      </c>
      <c r="K884" s="22">
        <v>0.90833333333333333</v>
      </c>
      <c r="L884" s="4"/>
      <c r="M884" s="4"/>
      <c r="N884" t="s">
        <v>1758</v>
      </c>
      <c r="O884" s="4"/>
      <c r="P884" t="s">
        <v>485</v>
      </c>
      <c r="Q884">
        <v>1</v>
      </c>
    </row>
    <row r="885" spans="1:17" ht="14.25" customHeight="1" x14ac:dyDescent="0.25">
      <c r="A885" s="4"/>
      <c r="B885" s="21">
        <v>44223</v>
      </c>
      <c r="C885" s="5">
        <f t="shared" si="26"/>
        <v>5</v>
      </c>
      <c r="D885" s="5">
        <f t="shared" si="27"/>
        <v>4</v>
      </c>
      <c r="E885" s="1" t="s">
        <v>5</v>
      </c>
      <c r="F885" s="1" t="s">
        <v>20</v>
      </c>
      <c r="G885">
        <v>47991</v>
      </c>
      <c r="H885">
        <v>100886</v>
      </c>
      <c r="I885" s="4"/>
      <c r="J885" s="22">
        <v>0.43124999999999997</v>
      </c>
      <c r="K885" s="22">
        <v>0.28958333333333336</v>
      </c>
      <c r="L885" s="4"/>
      <c r="M885" s="4"/>
      <c r="N885" t="s">
        <v>1759</v>
      </c>
      <c r="O885" s="4"/>
      <c r="P885" t="s">
        <v>789</v>
      </c>
      <c r="Q885">
        <v>33</v>
      </c>
    </row>
    <row r="886" spans="1:17" ht="14.25" customHeight="1" x14ac:dyDescent="0.25">
      <c r="A886" s="4"/>
      <c r="B886" s="21">
        <v>44223</v>
      </c>
      <c r="C886" s="5">
        <f t="shared" si="26"/>
        <v>5</v>
      </c>
      <c r="D886" s="5">
        <f t="shared" si="27"/>
        <v>4</v>
      </c>
      <c r="E886" s="1" t="s">
        <v>5</v>
      </c>
      <c r="F886" s="1" t="s">
        <v>19</v>
      </c>
      <c r="G886">
        <v>47991</v>
      </c>
      <c r="H886">
        <v>100886</v>
      </c>
      <c r="I886" s="4"/>
      <c r="J886" s="22">
        <v>0.38125000000000003</v>
      </c>
      <c r="K886" s="22">
        <v>0.8125</v>
      </c>
      <c r="L886" s="4"/>
      <c r="M886" s="4"/>
      <c r="N886" t="s">
        <v>1760</v>
      </c>
      <c r="O886" s="4"/>
      <c r="P886" t="s">
        <v>632</v>
      </c>
      <c r="Q886">
        <v>33</v>
      </c>
    </row>
    <row r="887" spans="1:17" ht="14.25" customHeight="1" x14ac:dyDescent="0.25">
      <c r="A887" s="4"/>
      <c r="B887" s="21">
        <v>44224</v>
      </c>
      <c r="C887" s="5">
        <f t="shared" si="26"/>
        <v>5</v>
      </c>
      <c r="D887" s="5">
        <f t="shared" si="27"/>
        <v>5</v>
      </c>
      <c r="E887" s="1" t="s">
        <v>6</v>
      </c>
      <c r="F887" s="1" t="s">
        <v>11</v>
      </c>
      <c r="G887">
        <v>47992</v>
      </c>
      <c r="H887">
        <v>100887</v>
      </c>
      <c r="I887" s="4"/>
      <c r="J887" s="22">
        <v>0.35416666666666669</v>
      </c>
      <c r="K887" s="22">
        <v>0.73749999999999993</v>
      </c>
      <c r="L887" s="4"/>
      <c r="M887" s="4"/>
      <c r="N887" t="s">
        <v>1761</v>
      </c>
      <c r="O887" s="4"/>
      <c r="P887" t="s">
        <v>790</v>
      </c>
      <c r="Q887">
        <v>22</v>
      </c>
    </row>
    <row r="888" spans="1:17" ht="14.25" customHeight="1" x14ac:dyDescent="0.25">
      <c r="A888" s="4"/>
      <c r="B888" s="21">
        <v>44224</v>
      </c>
      <c r="C888" s="5">
        <f t="shared" si="26"/>
        <v>5</v>
      </c>
      <c r="D888" s="5">
        <f t="shared" si="27"/>
        <v>5</v>
      </c>
      <c r="E888" s="1" t="s">
        <v>5</v>
      </c>
      <c r="F888" s="1" t="s">
        <v>19</v>
      </c>
      <c r="G888">
        <v>47992</v>
      </c>
      <c r="H888">
        <v>100888</v>
      </c>
      <c r="I888" s="4"/>
      <c r="J888" s="22">
        <v>0.25833333333333336</v>
      </c>
      <c r="K888" s="22">
        <v>5.2083333333333336E-2</v>
      </c>
      <c r="L888" s="4"/>
      <c r="M888" s="4"/>
      <c r="N888" t="s">
        <v>1762</v>
      </c>
      <c r="O888" s="4"/>
      <c r="P888" t="s">
        <v>791</v>
      </c>
      <c r="Q888">
        <v>8</v>
      </c>
    </row>
    <row r="889" spans="1:17" ht="14.25" customHeight="1" x14ac:dyDescent="0.25">
      <c r="A889" s="4"/>
      <c r="B889" s="21">
        <v>44224</v>
      </c>
      <c r="C889" s="5">
        <f t="shared" si="26"/>
        <v>5</v>
      </c>
      <c r="D889" s="5">
        <f t="shared" si="27"/>
        <v>5</v>
      </c>
      <c r="E889" s="1" t="s">
        <v>7</v>
      </c>
      <c r="F889" s="1" t="s">
        <v>16</v>
      </c>
      <c r="G889">
        <v>47993</v>
      </c>
      <c r="H889">
        <v>100889</v>
      </c>
      <c r="I889" s="4"/>
      <c r="J889" s="22">
        <v>0.38194444444444442</v>
      </c>
      <c r="K889" s="22">
        <v>0.83124999999999993</v>
      </c>
      <c r="L889" s="4"/>
      <c r="M889" s="4"/>
      <c r="N889" t="s">
        <v>1763</v>
      </c>
      <c r="O889" s="4"/>
      <c r="P889" t="s">
        <v>792</v>
      </c>
      <c r="Q889">
        <v>25</v>
      </c>
    </row>
    <row r="890" spans="1:17" ht="14.25" customHeight="1" x14ac:dyDescent="0.25">
      <c r="A890" s="4"/>
      <c r="B890" s="21">
        <v>44224</v>
      </c>
      <c r="C890" s="5">
        <f t="shared" si="26"/>
        <v>5</v>
      </c>
      <c r="D890" s="5">
        <f t="shared" si="27"/>
        <v>5</v>
      </c>
      <c r="E890" s="1" t="s">
        <v>5</v>
      </c>
      <c r="F890" s="1" t="s">
        <v>18</v>
      </c>
      <c r="G890">
        <v>47996</v>
      </c>
      <c r="H890">
        <v>100892</v>
      </c>
      <c r="I890" s="4"/>
      <c r="J890" s="22">
        <v>0.4458333333333333</v>
      </c>
      <c r="K890" s="22">
        <v>6.2499999999999995E-3</v>
      </c>
      <c r="L890" s="4"/>
      <c r="M890" s="4"/>
      <c r="N890" t="s">
        <v>1764</v>
      </c>
      <c r="O890" s="4"/>
      <c r="P890" t="s">
        <v>793</v>
      </c>
      <c r="Q890">
        <v>21</v>
      </c>
    </row>
    <row r="891" spans="1:17" ht="14.25" customHeight="1" x14ac:dyDescent="0.25">
      <c r="A891" s="4"/>
      <c r="B891" s="21">
        <v>44224</v>
      </c>
      <c r="C891" s="5">
        <f t="shared" si="26"/>
        <v>5</v>
      </c>
      <c r="D891" s="5">
        <f t="shared" si="27"/>
        <v>5</v>
      </c>
      <c r="E891" s="1" t="s">
        <v>7</v>
      </c>
      <c r="F891" s="1" t="s">
        <v>14</v>
      </c>
      <c r="G891">
        <v>47998</v>
      </c>
      <c r="H891">
        <v>100893</v>
      </c>
      <c r="I891" s="4"/>
      <c r="J891" s="22">
        <v>0.30972222222222223</v>
      </c>
      <c r="K891" s="22">
        <v>0.3215277777777778</v>
      </c>
      <c r="L891" s="4"/>
      <c r="M891" s="4"/>
      <c r="N891" t="s">
        <v>1765</v>
      </c>
      <c r="O891" s="4"/>
      <c r="P891" t="s">
        <v>794</v>
      </c>
      <c r="Q891">
        <v>5</v>
      </c>
    </row>
    <row r="892" spans="1:17" ht="14.25" customHeight="1" x14ac:dyDescent="0.25">
      <c r="A892" s="4"/>
      <c r="B892" s="21">
        <v>44224</v>
      </c>
      <c r="C892" s="5">
        <f t="shared" si="26"/>
        <v>5</v>
      </c>
      <c r="D892" s="5">
        <f t="shared" si="27"/>
        <v>5</v>
      </c>
      <c r="E892" s="1" t="s">
        <v>7</v>
      </c>
      <c r="F892" s="1" t="s">
        <v>16</v>
      </c>
      <c r="G892">
        <v>47998</v>
      </c>
      <c r="H892">
        <v>100897</v>
      </c>
      <c r="I892" s="4"/>
      <c r="J892" s="22">
        <v>0.42708333333333331</v>
      </c>
      <c r="K892" s="22">
        <v>2.361111111111111E-2</v>
      </c>
      <c r="L892" s="4"/>
      <c r="M892" s="4"/>
      <c r="N892" t="s">
        <v>1766</v>
      </c>
      <c r="O892" s="4"/>
      <c r="P892" t="s">
        <v>795</v>
      </c>
      <c r="Q892">
        <v>6</v>
      </c>
    </row>
    <row r="893" spans="1:17" ht="14.25" customHeight="1" x14ac:dyDescent="0.25">
      <c r="A893" s="4"/>
      <c r="B893" s="21">
        <v>44224</v>
      </c>
      <c r="C893" s="5">
        <f t="shared" si="26"/>
        <v>5</v>
      </c>
      <c r="D893" s="5">
        <f t="shared" si="27"/>
        <v>5</v>
      </c>
      <c r="E893" s="1" t="s">
        <v>5</v>
      </c>
      <c r="F893" s="1" t="s">
        <v>17</v>
      </c>
      <c r="G893">
        <v>47998</v>
      </c>
      <c r="H893">
        <v>100898</v>
      </c>
      <c r="I893" s="4"/>
      <c r="J893" s="22">
        <v>0.30694444444444441</v>
      </c>
      <c r="K893" s="22">
        <v>0.16458333333333333</v>
      </c>
      <c r="L893" s="4"/>
      <c r="M893" s="4"/>
      <c r="N893" t="s">
        <v>1767</v>
      </c>
      <c r="O893" s="4"/>
      <c r="P893" t="s">
        <v>796</v>
      </c>
      <c r="Q893">
        <v>29</v>
      </c>
    </row>
    <row r="894" spans="1:17" ht="14.25" customHeight="1" x14ac:dyDescent="0.25">
      <c r="A894" s="4"/>
      <c r="B894" s="21">
        <v>44224</v>
      </c>
      <c r="C894" s="5">
        <f t="shared" si="26"/>
        <v>5</v>
      </c>
      <c r="D894" s="5">
        <f t="shared" si="27"/>
        <v>5</v>
      </c>
      <c r="E894" s="1" t="s">
        <v>7</v>
      </c>
      <c r="F894" s="1" t="s">
        <v>14</v>
      </c>
      <c r="G894">
        <v>47999</v>
      </c>
      <c r="H894">
        <v>100898</v>
      </c>
      <c r="I894" s="4"/>
      <c r="J894" s="22">
        <v>0.31527777777777777</v>
      </c>
      <c r="K894" s="22">
        <v>0.32013888888888892</v>
      </c>
      <c r="L894" s="4"/>
      <c r="M894" s="4"/>
      <c r="N894" t="s">
        <v>1768</v>
      </c>
      <c r="O894" s="4"/>
      <c r="P894" t="s">
        <v>797</v>
      </c>
      <c r="Q894">
        <v>7</v>
      </c>
    </row>
    <row r="895" spans="1:17" ht="14.25" customHeight="1" x14ac:dyDescent="0.25">
      <c r="A895" s="4"/>
      <c r="B895" s="21">
        <v>44224</v>
      </c>
      <c r="C895" s="5">
        <f t="shared" si="26"/>
        <v>5</v>
      </c>
      <c r="D895" s="5">
        <f t="shared" si="27"/>
        <v>5</v>
      </c>
      <c r="E895" s="1" t="s">
        <v>5</v>
      </c>
      <c r="F895" s="1" t="s">
        <v>18</v>
      </c>
      <c r="G895">
        <v>47999</v>
      </c>
      <c r="H895">
        <v>100899</v>
      </c>
      <c r="I895" s="4"/>
      <c r="J895" s="22">
        <v>0.35000000000000003</v>
      </c>
      <c r="K895" s="22">
        <v>0.28819444444444448</v>
      </c>
      <c r="L895" s="4"/>
      <c r="M895" s="4"/>
      <c r="N895" t="s">
        <v>1769</v>
      </c>
      <c r="O895" s="4"/>
      <c r="P895" t="s">
        <v>798</v>
      </c>
      <c r="Q895">
        <v>18</v>
      </c>
    </row>
    <row r="896" spans="1:17" ht="14.25" customHeight="1" x14ac:dyDescent="0.25">
      <c r="A896" s="4"/>
      <c r="B896" s="21">
        <v>44224</v>
      </c>
      <c r="C896" s="5">
        <f t="shared" si="26"/>
        <v>5</v>
      </c>
      <c r="D896" s="5">
        <f t="shared" si="27"/>
        <v>5</v>
      </c>
      <c r="E896" s="1" t="s">
        <v>6</v>
      </c>
      <c r="F896" s="1" t="s">
        <v>12</v>
      </c>
      <c r="G896">
        <v>47999</v>
      </c>
      <c r="H896">
        <v>100901</v>
      </c>
      <c r="I896" s="4"/>
      <c r="J896" s="22">
        <v>0.29097222222222224</v>
      </c>
      <c r="K896" s="22">
        <v>7.2222222222222229E-2</v>
      </c>
      <c r="L896" s="4"/>
      <c r="M896" s="4"/>
      <c r="N896" t="s">
        <v>1770</v>
      </c>
      <c r="O896" s="4"/>
      <c r="P896" t="s">
        <v>799</v>
      </c>
      <c r="Q896">
        <v>12</v>
      </c>
    </row>
    <row r="897" spans="1:17" ht="14.25" customHeight="1" x14ac:dyDescent="0.25">
      <c r="A897" s="4"/>
      <c r="B897" s="21">
        <v>44224</v>
      </c>
      <c r="C897" s="5">
        <f t="shared" si="26"/>
        <v>5</v>
      </c>
      <c r="D897" s="5">
        <f t="shared" si="27"/>
        <v>5</v>
      </c>
      <c r="E897" s="1" t="s">
        <v>7</v>
      </c>
      <c r="F897" s="1" t="s">
        <v>15</v>
      </c>
      <c r="G897">
        <v>47999</v>
      </c>
      <c r="H897">
        <v>100901</v>
      </c>
      <c r="I897" s="4"/>
      <c r="J897" s="22">
        <v>0.33055555555555555</v>
      </c>
      <c r="K897" s="22">
        <v>0.89027777777777783</v>
      </c>
      <c r="L897" s="4"/>
      <c r="M897" s="4"/>
      <c r="N897" t="s">
        <v>1771</v>
      </c>
      <c r="O897" s="4"/>
      <c r="P897" t="s">
        <v>800</v>
      </c>
      <c r="Q897">
        <v>9</v>
      </c>
    </row>
    <row r="898" spans="1:17" ht="14.25" customHeight="1" x14ac:dyDescent="0.25">
      <c r="A898" s="4"/>
      <c r="B898" s="21">
        <v>44224</v>
      </c>
      <c r="C898" s="5">
        <f t="shared" si="26"/>
        <v>5</v>
      </c>
      <c r="D898" s="5">
        <f t="shared" si="27"/>
        <v>5</v>
      </c>
      <c r="E898" s="1" t="s">
        <v>5</v>
      </c>
      <c r="F898" s="1" t="s">
        <v>20</v>
      </c>
      <c r="G898">
        <v>48000</v>
      </c>
      <c r="H898">
        <v>100902</v>
      </c>
      <c r="I898" s="4"/>
      <c r="J898" s="22">
        <v>0.28402777777777777</v>
      </c>
      <c r="K898" s="22">
        <v>0.45833333333333331</v>
      </c>
      <c r="L898" s="4"/>
      <c r="M898" s="4"/>
      <c r="N898" t="s">
        <v>1772</v>
      </c>
      <c r="O898" s="4"/>
      <c r="P898" t="s">
        <v>801</v>
      </c>
      <c r="Q898">
        <v>13</v>
      </c>
    </row>
    <row r="899" spans="1:17" ht="14.25" customHeight="1" x14ac:dyDescent="0.25">
      <c r="A899" s="4"/>
      <c r="B899" s="21">
        <v>44224</v>
      </c>
      <c r="C899" s="5">
        <f t="shared" ref="C899:C962" si="28">WEEKNUM(B899)</f>
        <v>5</v>
      </c>
      <c r="D899" s="5">
        <f t="shared" ref="D899:D962" si="29">WEEKDAY(B899)</f>
        <v>5</v>
      </c>
      <c r="E899" s="1" t="s">
        <v>5</v>
      </c>
      <c r="F899" s="1" t="s">
        <v>20</v>
      </c>
      <c r="G899">
        <v>48000</v>
      </c>
      <c r="H899">
        <v>100903</v>
      </c>
      <c r="I899" s="4"/>
      <c r="J899" s="22">
        <v>0.26458333333333334</v>
      </c>
      <c r="K899" s="22">
        <v>0.82291666666666663</v>
      </c>
      <c r="L899" s="4"/>
      <c r="M899" s="4"/>
      <c r="N899" t="s">
        <v>1773</v>
      </c>
      <c r="O899" s="4"/>
      <c r="P899" t="s">
        <v>802</v>
      </c>
      <c r="Q899">
        <v>18</v>
      </c>
    </row>
    <row r="900" spans="1:17" ht="14.25" customHeight="1" x14ac:dyDescent="0.25">
      <c r="A900" s="4"/>
      <c r="B900" s="21">
        <v>44224</v>
      </c>
      <c r="C900" s="5">
        <f t="shared" si="28"/>
        <v>5</v>
      </c>
      <c r="D900" s="5">
        <f t="shared" si="29"/>
        <v>5</v>
      </c>
      <c r="E900" s="1" t="s">
        <v>7</v>
      </c>
      <c r="F900" s="1" t="s">
        <v>16</v>
      </c>
      <c r="G900">
        <v>48001</v>
      </c>
      <c r="H900">
        <v>100904</v>
      </c>
      <c r="I900" s="4"/>
      <c r="J900" s="22">
        <v>0.31041666666666667</v>
      </c>
      <c r="K900" s="22">
        <v>0.46249999999999997</v>
      </c>
      <c r="L900" s="4"/>
      <c r="M900" s="4"/>
      <c r="N900" t="s">
        <v>1774</v>
      </c>
      <c r="O900" s="4"/>
      <c r="P900" t="s">
        <v>288</v>
      </c>
      <c r="Q900">
        <v>2</v>
      </c>
    </row>
    <row r="901" spans="1:17" ht="14.25" customHeight="1" x14ac:dyDescent="0.25">
      <c r="A901" s="4"/>
      <c r="B901" s="21">
        <v>44224</v>
      </c>
      <c r="C901" s="5">
        <f t="shared" si="28"/>
        <v>5</v>
      </c>
      <c r="D901" s="5">
        <f t="shared" si="29"/>
        <v>5</v>
      </c>
      <c r="E901" s="1" t="s">
        <v>7</v>
      </c>
      <c r="F901" s="1" t="s">
        <v>15</v>
      </c>
      <c r="G901">
        <v>48002</v>
      </c>
      <c r="H901">
        <v>100905</v>
      </c>
      <c r="I901" s="4"/>
      <c r="J901" s="22">
        <v>0.4694444444444445</v>
      </c>
      <c r="K901" s="22">
        <v>0.53541666666666665</v>
      </c>
      <c r="L901" s="4"/>
      <c r="M901" s="4"/>
      <c r="N901" t="s">
        <v>1775</v>
      </c>
      <c r="O901" s="4"/>
      <c r="P901" t="s">
        <v>803</v>
      </c>
      <c r="Q901">
        <v>20</v>
      </c>
    </row>
    <row r="902" spans="1:17" ht="14.25" customHeight="1" x14ac:dyDescent="0.25">
      <c r="A902" s="4"/>
      <c r="B902" s="21">
        <v>44224</v>
      </c>
      <c r="C902" s="5">
        <f t="shared" si="28"/>
        <v>5</v>
      </c>
      <c r="D902" s="5">
        <f t="shared" si="29"/>
        <v>5</v>
      </c>
      <c r="E902" s="1" t="s">
        <v>5</v>
      </c>
      <c r="F902" s="1" t="s">
        <v>17</v>
      </c>
      <c r="G902">
        <v>48003</v>
      </c>
      <c r="H902">
        <v>100907</v>
      </c>
      <c r="I902" s="4"/>
      <c r="J902" s="22">
        <v>0.32430555555555557</v>
      </c>
      <c r="K902" s="22">
        <v>0.23541666666666669</v>
      </c>
      <c r="L902" s="4"/>
      <c r="M902" s="4"/>
      <c r="N902" t="s">
        <v>1776</v>
      </c>
      <c r="O902" s="4"/>
      <c r="P902" t="s">
        <v>804</v>
      </c>
      <c r="Q902">
        <v>7</v>
      </c>
    </row>
    <row r="903" spans="1:17" ht="14.25" customHeight="1" x14ac:dyDescent="0.25">
      <c r="A903" s="4"/>
      <c r="B903" s="21">
        <v>44224</v>
      </c>
      <c r="C903" s="5">
        <f t="shared" si="28"/>
        <v>5</v>
      </c>
      <c r="D903" s="5">
        <f t="shared" si="29"/>
        <v>5</v>
      </c>
      <c r="E903" s="1" t="s">
        <v>5</v>
      </c>
      <c r="F903" s="1" t="s">
        <v>19</v>
      </c>
      <c r="G903">
        <v>48003</v>
      </c>
      <c r="H903">
        <v>100907</v>
      </c>
      <c r="I903" s="4"/>
      <c r="J903" s="22">
        <v>0.35833333333333334</v>
      </c>
      <c r="K903" s="22">
        <v>0.94236111111111109</v>
      </c>
      <c r="L903" s="4"/>
      <c r="M903" s="4"/>
      <c r="N903" t="s">
        <v>1777</v>
      </c>
      <c r="O903" s="4"/>
      <c r="P903" t="s">
        <v>789</v>
      </c>
      <c r="Q903">
        <v>24</v>
      </c>
    </row>
    <row r="904" spans="1:17" ht="14.25" customHeight="1" x14ac:dyDescent="0.25">
      <c r="A904" s="4"/>
      <c r="B904" s="21">
        <v>44224</v>
      </c>
      <c r="C904" s="5">
        <f t="shared" si="28"/>
        <v>5</v>
      </c>
      <c r="D904" s="5">
        <f t="shared" si="29"/>
        <v>5</v>
      </c>
      <c r="E904" s="1" t="s">
        <v>7</v>
      </c>
      <c r="F904" s="1" t="s">
        <v>14</v>
      </c>
      <c r="G904">
        <v>48004</v>
      </c>
      <c r="H904">
        <v>100909</v>
      </c>
      <c r="I904" s="4"/>
      <c r="J904" s="22">
        <v>0.4993055555555555</v>
      </c>
      <c r="K904" s="22">
        <v>3.888888888888889E-2</v>
      </c>
      <c r="L904" s="4"/>
      <c r="M904" s="4"/>
      <c r="N904" t="s">
        <v>1778</v>
      </c>
      <c r="O904" s="4"/>
      <c r="P904" t="s">
        <v>750</v>
      </c>
      <c r="Q904">
        <v>22</v>
      </c>
    </row>
    <row r="905" spans="1:17" ht="14.25" customHeight="1" x14ac:dyDescent="0.25">
      <c r="A905" s="4"/>
      <c r="B905" s="21">
        <v>44224</v>
      </c>
      <c r="C905" s="5">
        <f t="shared" si="28"/>
        <v>5</v>
      </c>
      <c r="D905" s="5">
        <f t="shared" si="29"/>
        <v>5</v>
      </c>
      <c r="E905" s="1" t="s">
        <v>5</v>
      </c>
      <c r="F905" s="1" t="s">
        <v>20</v>
      </c>
      <c r="G905">
        <v>48004</v>
      </c>
      <c r="H905">
        <v>100909</v>
      </c>
      <c r="I905" s="4"/>
      <c r="J905" s="22">
        <v>0.42291666666666666</v>
      </c>
      <c r="K905" s="22">
        <v>0.51458333333333328</v>
      </c>
      <c r="L905" s="4"/>
      <c r="M905" s="4"/>
      <c r="N905" t="s">
        <v>1779</v>
      </c>
      <c r="O905" s="4"/>
      <c r="P905" t="s">
        <v>805</v>
      </c>
      <c r="Q905">
        <v>9</v>
      </c>
    </row>
    <row r="906" spans="1:17" ht="14.25" customHeight="1" x14ac:dyDescent="0.25">
      <c r="A906" s="4"/>
      <c r="B906" s="21">
        <v>44224</v>
      </c>
      <c r="C906" s="5">
        <f t="shared" si="28"/>
        <v>5</v>
      </c>
      <c r="D906" s="5">
        <f t="shared" si="29"/>
        <v>5</v>
      </c>
      <c r="E906" s="1" t="s">
        <v>6</v>
      </c>
      <c r="F906" s="1" t="s">
        <v>12</v>
      </c>
      <c r="G906">
        <v>48006</v>
      </c>
      <c r="H906">
        <v>100910</v>
      </c>
      <c r="I906" s="4"/>
      <c r="J906" s="22">
        <v>0.39652777777777781</v>
      </c>
      <c r="K906" s="22">
        <v>0.49027777777777781</v>
      </c>
      <c r="L906" s="4"/>
      <c r="M906" s="4"/>
      <c r="N906" t="s">
        <v>1780</v>
      </c>
      <c r="O906" s="4"/>
      <c r="P906" t="s">
        <v>806</v>
      </c>
      <c r="Q906">
        <v>4</v>
      </c>
    </row>
    <row r="907" spans="1:17" ht="14.25" customHeight="1" x14ac:dyDescent="0.25">
      <c r="A907" s="4"/>
      <c r="B907" s="21">
        <v>44224</v>
      </c>
      <c r="C907" s="5">
        <f t="shared" si="28"/>
        <v>5</v>
      </c>
      <c r="D907" s="5">
        <f t="shared" si="29"/>
        <v>5</v>
      </c>
      <c r="E907" s="1" t="s">
        <v>5</v>
      </c>
      <c r="F907" s="1" t="s">
        <v>19</v>
      </c>
      <c r="G907">
        <v>48006</v>
      </c>
      <c r="H907">
        <v>100910</v>
      </c>
      <c r="I907" s="4"/>
      <c r="J907" s="22">
        <v>0.31041666666666667</v>
      </c>
      <c r="K907" s="22">
        <v>0.46458333333333335</v>
      </c>
      <c r="L907" s="4"/>
      <c r="M907" s="4"/>
      <c r="N907" t="s">
        <v>1781</v>
      </c>
      <c r="O907" s="4"/>
      <c r="P907" t="s">
        <v>807</v>
      </c>
      <c r="Q907">
        <v>4</v>
      </c>
    </row>
    <row r="908" spans="1:17" ht="14.25" customHeight="1" x14ac:dyDescent="0.25">
      <c r="A908" s="4"/>
      <c r="B908" s="21">
        <v>44224</v>
      </c>
      <c r="C908" s="5">
        <f t="shared" si="28"/>
        <v>5</v>
      </c>
      <c r="D908" s="5">
        <f t="shared" si="29"/>
        <v>5</v>
      </c>
      <c r="E908" s="1" t="s">
        <v>7</v>
      </c>
      <c r="F908" s="1" t="s">
        <v>16</v>
      </c>
      <c r="G908">
        <v>48006</v>
      </c>
      <c r="H908">
        <v>100911</v>
      </c>
      <c r="I908" s="4"/>
      <c r="J908" s="22">
        <v>0.39305555555555555</v>
      </c>
      <c r="K908" s="22">
        <v>0.40347222222222223</v>
      </c>
      <c r="L908" s="4"/>
      <c r="M908" s="4"/>
      <c r="N908" t="s">
        <v>1782</v>
      </c>
      <c r="O908" s="4"/>
      <c r="P908" t="s">
        <v>808</v>
      </c>
      <c r="Q908">
        <v>33</v>
      </c>
    </row>
    <row r="909" spans="1:17" ht="14.25" customHeight="1" x14ac:dyDescent="0.25">
      <c r="A909" s="4"/>
      <c r="B909" s="21">
        <v>44224</v>
      </c>
      <c r="C909" s="5">
        <f t="shared" si="28"/>
        <v>5</v>
      </c>
      <c r="D909" s="5">
        <f t="shared" si="29"/>
        <v>5</v>
      </c>
      <c r="E909" s="1" t="s">
        <v>5</v>
      </c>
      <c r="F909" s="1" t="s">
        <v>17</v>
      </c>
      <c r="G909">
        <v>48007</v>
      </c>
      <c r="H909">
        <v>100913</v>
      </c>
      <c r="I909" s="4"/>
      <c r="J909" s="22">
        <v>0.44791666666666669</v>
      </c>
      <c r="K909" s="22">
        <v>0.36180555555555555</v>
      </c>
      <c r="L909" s="4"/>
      <c r="M909" s="4"/>
      <c r="N909" t="s">
        <v>1783</v>
      </c>
      <c r="O909" s="4"/>
      <c r="P909" t="s">
        <v>333</v>
      </c>
      <c r="Q909">
        <v>5</v>
      </c>
    </row>
    <row r="910" spans="1:17" ht="14.25" customHeight="1" x14ac:dyDescent="0.25">
      <c r="A910" s="4"/>
      <c r="B910" s="21">
        <v>44224</v>
      </c>
      <c r="C910" s="5">
        <f t="shared" si="28"/>
        <v>5</v>
      </c>
      <c r="D910" s="5">
        <f t="shared" si="29"/>
        <v>5</v>
      </c>
      <c r="E910" s="1" t="s">
        <v>6</v>
      </c>
      <c r="F910" s="1" t="s">
        <v>13</v>
      </c>
      <c r="G910">
        <v>48008</v>
      </c>
      <c r="H910">
        <v>100913</v>
      </c>
      <c r="I910" s="4"/>
      <c r="J910" s="22">
        <v>0.30138888888888887</v>
      </c>
      <c r="K910" s="22">
        <v>0.66736111111111107</v>
      </c>
      <c r="L910" s="4"/>
      <c r="M910" s="4"/>
      <c r="N910" t="s">
        <v>1784</v>
      </c>
      <c r="O910" s="4"/>
      <c r="P910" t="s">
        <v>727</v>
      </c>
      <c r="Q910">
        <v>12</v>
      </c>
    </row>
    <row r="911" spans="1:17" ht="14.25" customHeight="1" x14ac:dyDescent="0.25">
      <c r="A911" s="4"/>
      <c r="B911" s="21">
        <v>44224</v>
      </c>
      <c r="C911" s="5">
        <f t="shared" si="28"/>
        <v>5</v>
      </c>
      <c r="D911" s="5">
        <f t="shared" si="29"/>
        <v>5</v>
      </c>
      <c r="E911" s="1" t="s">
        <v>5</v>
      </c>
      <c r="F911" s="1" t="s">
        <v>17</v>
      </c>
      <c r="G911">
        <v>48011</v>
      </c>
      <c r="H911">
        <v>100915</v>
      </c>
      <c r="I911" s="4"/>
      <c r="J911" s="22">
        <v>0.45347222222222222</v>
      </c>
      <c r="K911" s="22">
        <v>0.57152777777777775</v>
      </c>
      <c r="L911" s="4"/>
      <c r="M911" s="4"/>
      <c r="N911" t="s">
        <v>1785</v>
      </c>
      <c r="O911" s="4"/>
      <c r="P911" t="s">
        <v>809</v>
      </c>
      <c r="Q911">
        <v>12</v>
      </c>
    </row>
    <row r="912" spans="1:17" ht="14.25" customHeight="1" x14ac:dyDescent="0.25">
      <c r="A912" s="4"/>
      <c r="B912" s="21">
        <v>44224</v>
      </c>
      <c r="C912" s="5">
        <f t="shared" si="28"/>
        <v>5</v>
      </c>
      <c r="D912" s="5">
        <f t="shared" si="29"/>
        <v>5</v>
      </c>
      <c r="E912" s="1" t="s">
        <v>5</v>
      </c>
      <c r="F912" s="1" t="s">
        <v>18</v>
      </c>
      <c r="G912">
        <v>48012</v>
      </c>
      <c r="H912">
        <v>100916</v>
      </c>
      <c r="I912" s="4"/>
      <c r="J912" s="22">
        <v>0.39652777777777781</v>
      </c>
      <c r="K912" s="22">
        <v>0.16805555555555554</v>
      </c>
      <c r="L912" s="4"/>
      <c r="M912" s="4"/>
      <c r="N912" t="s">
        <v>1786</v>
      </c>
      <c r="O912" s="4"/>
      <c r="P912" t="s">
        <v>810</v>
      </c>
      <c r="Q912">
        <v>32</v>
      </c>
    </row>
    <row r="913" spans="1:17" ht="14.25" customHeight="1" x14ac:dyDescent="0.25">
      <c r="A913" s="4"/>
      <c r="B913" s="21">
        <v>44224</v>
      </c>
      <c r="C913" s="5">
        <f t="shared" si="28"/>
        <v>5</v>
      </c>
      <c r="D913" s="5">
        <f t="shared" si="29"/>
        <v>5</v>
      </c>
      <c r="E913" s="1" t="s">
        <v>6</v>
      </c>
      <c r="F913" s="1" t="s">
        <v>12</v>
      </c>
      <c r="G913">
        <v>48014</v>
      </c>
      <c r="H913">
        <v>100916</v>
      </c>
      <c r="I913" s="4"/>
      <c r="J913" s="22">
        <v>0.4909722222222222</v>
      </c>
      <c r="K913" s="22">
        <v>0.43055555555555558</v>
      </c>
      <c r="L913" s="4"/>
      <c r="M913" s="4"/>
      <c r="N913" t="s">
        <v>1787</v>
      </c>
      <c r="O913" s="4"/>
      <c r="P913" t="s">
        <v>248</v>
      </c>
      <c r="Q913">
        <v>6</v>
      </c>
    </row>
    <row r="914" spans="1:17" ht="14.25" customHeight="1" x14ac:dyDescent="0.25">
      <c r="A914" s="4"/>
      <c r="B914" s="21">
        <v>44224</v>
      </c>
      <c r="C914" s="5">
        <f t="shared" si="28"/>
        <v>5</v>
      </c>
      <c r="D914" s="5">
        <f t="shared" si="29"/>
        <v>5</v>
      </c>
      <c r="E914" s="1" t="s">
        <v>6</v>
      </c>
      <c r="F914" s="1" t="s">
        <v>12</v>
      </c>
      <c r="G914">
        <v>48015</v>
      </c>
      <c r="H914">
        <v>100916</v>
      </c>
      <c r="I914" s="4"/>
      <c r="J914" s="22">
        <v>0.32013888888888892</v>
      </c>
      <c r="K914" s="22">
        <v>0.17986111111111111</v>
      </c>
      <c r="L914" s="4"/>
      <c r="M914" s="4"/>
      <c r="N914" t="s">
        <v>1788</v>
      </c>
      <c r="O914" s="4"/>
      <c r="P914" t="s">
        <v>811</v>
      </c>
      <c r="Q914">
        <v>25</v>
      </c>
    </row>
    <row r="915" spans="1:17" ht="14.25" customHeight="1" x14ac:dyDescent="0.25">
      <c r="A915" s="4"/>
      <c r="B915" s="21">
        <v>44224</v>
      </c>
      <c r="C915" s="5">
        <f t="shared" si="28"/>
        <v>5</v>
      </c>
      <c r="D915" s="5">
        <f t="shared" si="29"/>
        <v>5</v>
      </c>
      <c r="E915" s="1" t="s">
        <v>5</v>
      </c>
      <c r="F915" s="1" t="s">
        <v>18</v>
      </c>
      <c r="G915">
        <v>48015</v>
      </c>
      <c r="H915">
        <v>100917</v>
      </c>
      <c r="I915" s="4"/>
      <c r="J915" s="22">
        <v>0.30902777777777779</v>
      </c>
      <c r="K915" s="22">
        <v>7.5694444444444439E-2</v>
      </c>
      <c r="L915" s="4"/>
      <c r="M915" s="4"/>
      <c r="N915" t="s">
        <v>1789</v>
      </c>
      <c r="O915" s="4"/>
      <c r="P915" t="s">
        <v>812</v>
      </c>
      <c r="Q915">
        <v>2</v>
      </c>
    </row>
    <row r="916" spans="1:17" ht="14.25" customHeight="1" x14ac:dyDescent="0.25">
      <c r="A916" s="4"/>
      <c r="B916" s="21">
        <v>44224</v>
      </c>
      <c r="C916" s="5">
        <f t="shared" si="28"/>
        <v>5</v>
      </c>
      <c r="D916" s="5">
        <f t="shared" si="29"/>
        <v>5</v>
      </c>
      <c r="E916" s="1" t="s">
        <v>5</v>
      </c>
      <c r="F916" s="1" t="s">
        <v>17</v>
      </c>
      <c r="G916">
        <v>48015</v>
      </c>
      <c r="H916">
        <v>100917</v>
      </c>
      <c r="I916" s="4"/>
      <c r="J916" s="22">
        <v>0.29652777777777778</v>
      </c>
      <c r="K916" s="22">
        <v>0.45347222222222222</v>
      </c>
      <c r="L916" s="4"/>
      <c r="M916" s="4"/>
      <c r="N916" t="s">
        <v>1790</v>
      </c>
      <c r="O916" s="4"/>
      <c r="P916" t="s">
        <v>813</v>
      </c>
      <c r="Q916">
        <v>22</v>
      </c>
    </row>
    <row r="917" spans="1:17" ht="14.25" customHeight="1" x14ac:dyDescent="0.25">
      <c r="A917" s="4"/>
      <c r="B917" s="21">
        <v>44224</v>
      </c>
      <c r="C917" s="5">
        <f t="shared" si="28"/>
        <v>5</v>
      </c>
      <c r="D917" s="5">
        <f t="shared" si="29"/>
        <v>5</v>
      </c>
      <c r="E917" s="1" t="s">
        <v>5</v>
      </c>
      <c r="F917" s="1" t="s">
        <v>17</v>
      </c>
      <c r="G917">
        <v>48017</v>
      </c>
      <c r="H917">
        <v>100918</v>
      </c>
      <c r="I917" s="4"/>
      <c r="J917" s="22">
        <v>0.4916666666666667</v>
      </c>
      <c r="K917" s="22">
        <v>0.32777777777777778</v>
      </c>
      <c r="L917" s="4"/>
      <c r="M917" s="4"/>
      <c r="N917" t="s">
        <v>1791</v>
      </c>
      <c r="O917" s="4"/>
      <c r="P917" t="s">
        <v>149</v>
      </c>
      <c r="Q917">
        <v>19</v>
      </c>
    </row>
    <row r="918" spans="1:17" ht="14.25" customHeight="1" x14ac:dyDescent="0.25">
      <c r="A918" s="4"/>
      <c r="B918" s="21">
        <v>44224</v>
      </c>
      <c r="C918" s="5">
        <f t="shared" si="28"/>
        <v>5</v>
      </c>
      <c r="D918" s="5">
        <f t="shared" si="29"/>
        <v>5</v>
      </c>
      <c r="E918" s="1" t="s">
        <v>5</v>
      </c>
      <c r="F918" s="1" t="s">
        <v>19</v>
      </c>
      <c r="G918">
        <v>48018</v>
      </c>
      <c r="H918">
        <v>100918</v>
      </c>
      <c r="I918" s="4"/>
      <c r="J918" s="22">
        <v>0.33680555555555558</v>
      </c>
      <c r="K918" s="22">
        <v>0.16527777777777777</v>
      </c>
      <c r="L918" s="4"/>
      <c r="M918" s="4"/>
      <c r="N918" t="s">
        <v>1792</v>
      </c>
      <c r="O918" s="4"/>
      <c r="P918" t="s">
        <v>316</v>
      </c>
      <c r="Q918">
        <v>7</v>
      </c>
    </row>
    <row r="919" spans="1:17" ht="14.25" customHeight="1" x14ac:dyDescent="0.25">
      <c r="A919" s="4"/>
      <c r="B919" s="21">
        <v>44224</v>
      </c>
      <c r="C919" s="5">
        <f t="shared" si="28"/>
        <v>5</v>
      </c>
      <c r="D919" s="5">
        <f t="shared" si="29"/>
        <v>5</v>
      </c>
      <c r="E919" s="1" t="s">
        <v>5</v>
      </c>
      <c r="F919" s="1" t="s">
        <v>19</v>
      </c>
      <c r="G919">
        <v>48019</v>
      </c>
      <c r="H919">
        <v>100919</v>
      </c>
      <c r="I919" s="4"/>
      <c r="J919" s="22">
        <v>0.3833333333333333</v>
      </c>
      <c r="K919" s="22">
        <v>0.72083333333333333</v>
      </c>
      <c r="L919" s="4"/>
      <c r="M919" s="4"/>
      <c r="N919" t="s">
        <v>1793</v>
      </c>
      <c r="O919" s="4"/>
      <c r="P919" t="s">
        <v>814</v>
      </c>
      <c r="Q919">
        <v>30</v>
      </c>
    </row>
    <row r="920" spans="1:17" ht="14.25" customHeight="1" x14ac:dyDescent="0.25">
      <c r="A920" s="4"/>
      <c r="B920" s="21">
        <v>44225</v>
      </c>
      <c r="C920" s="5">
        <f t="shared" si="28"/>
        <v>5</v>
      </c>
      <c r="D920" s="5">
        <f t="shared" si="29"/>
        <v>6</v>
      </c>
      <c r="E920" s="1" t="s">
        <v>6</v>
      </c>
      <c r="F920" s="1" t="s">
        <v>11</v>
      </c>
      <c r="G920">
        <v>48019</v>
      </c>
      <c r="H920">
        <v>100923</v>
      </c>
      <c r="I920" s="4"/>
      <c r="J920" s="22">
        <v>0.47500000000000003</v>
      </c>
      <c r="K920" s="22">
        <v>2.7777777777777776E-2</v>
      </c>
      <c r="L920" s="4"/>
      <c r="M920" s="4"/>
      <c r="N920" t="s">
        <v>1794</v>
      </c>
      <c r="O920" s="4"/>
      <c r="P920" t="s">
        <v>815</v>
      </c>
      <c r="Q920">
        <v>9</v>
      </c>
    </row>
    <row r="921" spans="1:17" ht="14.25" customHeight="1" x14ac:dyDescent="0.25">
      <c r="A921" s="4"/>
      <c r="B921" s="21">
        <v>44225</v>
      </c>
      <c r="C921" s="5">
        <f t="shared" si="28"/>
        <v>5</v>
      </c>
      <c r="D921" s="5">
        <f t="shared" si="29"/>
        <v>6</v>
      </c>
      <c r="E921" s="1" t="s">
        <v>5</v>
      </c>
      <c r="F921" s="1" t="s">
        <v>20</v>
      </c>
      <c r="G921">
        <v>48021</v>
      </c>
      <c r="H921">
        <v>100923</v>
      </c>
      <c r="I921" s="4"/>
      <c r="J921" s="22">
        <v>0.43124999999999997</v>
      </c>
      <c r="K921" s="22">
        <v>0.86458333333333337</v>
      </c>
      <c r="L921" s="4"/>
      <c r="M921" s="4"/>
      <c r="N921" t="s">
        <v>1795</v>
      </c>
      <c r="O921" s="4"/>
      <c r="P921" t="s">
        <v>816</v>
      </c>
      <c r="Q921">
        <v>22</v>
      </c>
    </row>
    <row r="922" spans="1:17" ht="14.25" customHeight="1" x14ac:dyDescent="0.25">
      <c r="A922" s="4"/>
      <c r="B922" s="21">
        <v>44225</v>
      </c>
      <c r="C922" s="5">
        <f t="shared" si="28"/>
        <v>5</v>
      </c>
      <c r="D922" s="5">
        <f t="shared" si="29"/>
        <v>6</v>
      </c>
      <c r="E922" s="1" t="s">
        <v>5</v>
      </c>
      <c r="F922" s="1" t="s">
        <v>17</v>
      </c>
      <c r="G922">
        <v>48021</v>
      </c>
      <c r="H922">
        <v>100924</v>
      </c>
      <c r="I922" s="4"/>
      <c r="J922" s="22">
        <v>0.26458333333333334</v>
      </c>
      <c r="K922" s="22">
        <v>0.55347222222222225</v>
      </c>
      <c r="L922" s="4"/>
      <c r="M922" s="4"/>
      <c r="N922" t="s">
        <v>1796</v>
      </c>
      <c r="O922" s="4"/>
      <c r="P922" t="s">
        <v>817</v>
      </c>
      <c r="Q922">
        <v>19</v>
      </c>
    </row>
    <row r="923" spans="1:17" ht="14.25" customHeight="1" x14ac:dyDescent="0.25">
      <c r="A923" s="4"/>
      <c r="B923" s="21">
        <v>44225</v>
      </c>
      <c r="C923" s="5">
        <f t="shared" si="28"/>
        <v>5</v>
      </c>
      <c r="D923" s="5">
        <f t="shared" si="29"/>
        <v>6</v>
      </c>
      <c r="E923" s="1" t="s">
        <v>7</v>
      </c>
      <c r="F923" s="1" t="s">
        <v>15</v>
      </c>
      <c r="G923">
        <v>48022</v>
      </c>
      <c r="H923">
        <v>100924</v>
      </c>
      <c r="I923" s="4"/>
      <c r="J923" s="22">
        <v>0.37152777777777773</v>
      </c>
      <c r="K923" s="22">
        <v>0.53194444444444444</v>
      </c>
      <c r="L923" s="4"/>
      <c r="M923" s="4"/>
      <c r="N923" t="s">
        <v>1797</v>
      </c>
      <c r="O923" s="4"/>
      <c r="P923" t="s">
        <v>818</v>
      </c>
      <c r="Q923">
        <v>4</v>
      </c>
    </row>
    <row r="924" spans="1:17" ht="14.25" customHeight="1" x14ac:dyDescent="0.25">
      <c r="A924" s="4"/>
      <c r="B924" s="21">
        <v>44225</v>
      </c>
      <c r="C924" s="5">
        <f t="shared" si="28"/>
        <v>5</v>
      </c>
      <c r="D924" s="5">
        <f t="shared" si="29"/>
        <v>6</v>
      </c>
      <c r="E924" s="1" t="s">
        <v>7</v>
      </c>
      <c r="F924" s="1" t="s">
        <v>16</v>
      </c>
      <c r="G924">
        <v>48023</v>
      </c>
      <c r="H924">
        <v>100925</v>
      </c>
      <c r="I924" s="4"/>
      <c r="J924" s="22">
        <v>0.27777777777777779</v>
      </c>
      <c r="K924" s="22">
        <v>0.8027777777777777</v>
      </c>
      <c r="L924" s="4"/>
      <c r="M924" s="4"/>
      <c r="N924" t="s">
        <v>1798</v>
      </c>
      <c r="O924" s="4"/>
      <c r="P924" t="s">
        <v>819</v>
      </c>
      <c r="Q924">
        <v>33</v>
      </c>
    </row>
    <row r="925" spans="1:17" ht="14.25" customHeight="1" x14ac:dyDescent="0.25">
      <c r="A925" s="4"/>
      <c r="B925" s="21">
        <v>44225</v>
      </c>
      <c r="C925" s="5">
        <f t="shared" si="28"/>
        <v>5</v>
      </c>
      <c r="D925" s="5">
        <f t="shared" si="29"/>
        <v>6</v>
      </c>
      <c r="E925" s="1" t="s">
        <v>7</v>
      </c>
      <c r="F925" s="1" t="s">
        <v>14</v>
      </c>
      <c r="G925">
        <v>48025</v>
      </c>
      <c r="H925">
        <v>100926</v>
      </c>
      <c r="I925" s="4"/>
      <c r="J925" s="22">
        <v>0.46458333333333335</v>
      </c>
      <c r="K925" s="22">
        <v>0.2951388888888889</v>
      </c>
      <c r="L925" s="4"/>
      <c r="M925" s="4"/>
      <c r="N925" t="s">
        <v>1799</v>
      </c>
      <c r="O925" s="4"/>
      <c r="P925" t="s">
        <v>820</v>
      </c>
      <c r="Q925">
        <v>16</v>
      </c>
    </row>
    <row r="926" spans="1:17" ht="14.25" customHeight="1" x14ac:dyDescent="0.25">
      <c r="A926" s="4"/>
      <c r="B926" s="21">
        <v>44225</v>
      </c>
      <c r="C926" s="5">
        <f t="shared" si="28"/>
        <v>5</v>
      </c>
      <c r="D926" s="5">
        <f t="shared" si="29"/>
        <v>6</v>
      </c>
      <c r="E926" s="1" t="s">
        <v>5</v>
      </c>
      <c r="F926" s="1" t="s">
        <v>20</v>
      </c>
      <c r="G926">
        <v>48025</v>
      </c>
      <c r="H926">
        <v>100927</v>
      </c>
      <c r="I926" s="4"/>
      <c r="J926" s="22">
        <v>0.25625000000000003</v>
      </c>
      <c r="K926" s="22">
        <v>0.83888888888888891</v>
      </c>
      <c r="L926" s="4"/>
      <c r="M926" s="4"/>
      <c r="N926" t="s">
        <v>1800</v>
      </c>
      <c r="O926" s="4"/>
      <c r="P926" t="s">
        <v>821</v>
      </c>
      <c r="Q926">
        <v>8</v>
      </c>
    </row>
    <row r="927" spans="1:17" ht="14.25" customHeight="1" x14ac:dyDescent="0.25">
      <c r="A927" s="4"/>
      <c r="B927" s="21">
        <v>44225</v>
      </c>
      <c r="C927" s="5">
        <f t="shared" si="28"/>
        <v>5</v>
      </c>
      <c r="D927" s="5">
        <f t="shared" si="29"/>
        <v>6</v>
      </c>
      <c r="E927" s="1" t="s">
        <v>6</v>
      </c>
      <c r="F927" s="1" t="s">
        <v>13</v>
      </c>
      <c r="G927">
        <v>48025</v>
      </c>
      <c r="H927">
        <v>100927</v>
      </c>
      <c r="I927" s="4"/>
      <c r="J927" s="22">
        <v>0.33680555555555558</v>
      </c>
      <c r="K927" s="22">
        <v>0.625</v>
      </c>
      <c r="L927" s="4"/>
      <c r="M927" s="4"/>
      <c r="N927" t="s">
        <v>1801</v>
      </c>
      <c r="O927" s="4"/>
      <c r="P927" t="s">
        <v>822</v>
      </c>
      <c r="Q927">
        <v>7</v>
      </c>
    </row>
    <row r="928" spans="1:17" ht="14.25" customHeight="1" x14ac:dyDescent="0.25">
      <c r="A928" s="4"/>
      <c r="B928" s="21">
        <v>44225</v>
      </c>
      <c r="C928" s="5">
        <f t="shared" si="28"/>
        <v>5</v>
      </c>
      <c r="D928" s="5">
        <f t="shared" si="29"/>
        <v>6</v>
      </c>
      <c r="E928" s="1" t="s">
        <v>6</v>
      </c>
      <c r="F928" s="1" t="s">
        <v>11</v>
      </c>
      <c r="G928">
        <v>48026</v>
      </c>
      <c r="H928">
        <v>100927</v>
      </c>
      <c r="I928" s="4"/>
      <c r="J928" s="22">
        <v>0.48541666666666666</v>
      </c>
      <c r="K928" s="22">
        <v>0.3833333333333333</v>
      </c>
      <c r="L928" s="4"/>
      <c r="M928" s="4"/>
      <c r="N928" t="s">
        <v>1802</v>
      </c>
      <c r="O928" s="4"/>
      <c r="P928" t="s">
        <v>823</v>
      </c>
      <c r="Q928">
        <v>25</v>
      </c>
    </row>
    <row r="929" spans="1:17" ht="14.25" customHeight="1" x14ac:dyDescent="0.25">
      <c r="A929" s="4"/>
      <c r="B929" s="21">
        <v>44225</v>
      </c>
      <c r="C929" s="5">
        <f t="shared" si="28"/>
        <v>5</v>
      </c>
      <c r="D929" s="5">
        <f t="shared" si="29"/>
        <v>6</v>
      </c>
      <c r="E929" s="1" t="s">
        <v>7</v>
      </c>
      <c r="F929" s="1" t="s">
        <v>15</v>
      </c>
      <c r="G929">
        <v>48027</v>
      </c>
      <c r="H929">
        <v>100930</v>
      </c>
      <c r="I929" s="4"/>
      <c r="J929" s="22">
        <v>0.2902777777777778</v>
      </c>
      <c r="K929" s="22">
        <v>0.3215277777777778</v>
      </c>
      <c r="L929" s="4"/>
      <c r="M929" s="4"/>
      <c r="N929" t="s">
        <v>1803</v>
      </c>
      <c r="O929" s="4"/>
      <c r="P929" t="s">
        <v>824</v>
      </c>
      <c r="Q929">
        <v>23</v>
      </c>
    </row>
    <row r="930" spans="1:17" ht="14.25" customHeight="1" x14ac:dyDescent="0.25">
      <c r="A930" s="4"/>
      <c r="B930" s="21">
        <v>44225</v>
      </c>
      <c r="C930" s="5">
        <f t="shared" si="28"/>
        <v>5</v>
      </c>
      <c r="D930" s="5">
        <f t="shared" si="29"/>
        <v>6</v>
      </c>
      <c r="E930" s="1" t="s">
        <v>6</v>
      </c>
      <c r="F930" s="1" t="s">
        <v>12</v>
      </c>
      <c r="G930">
        <v>48028</v>
      </c>
      <c r="H930">
        <v>100932</v>
      </c>
      <c r="I930" s="4"/>
      <c r="J930" s="22">
        <v>0.49305555555555558</v>
      </c>
      <c r="K930" s="22">
        <v>0.35138888888888892</v>
      </c>
      <c r="L930" s="4"/>
      <c r="M930" s="4"/>
      <c r="N930" t="s">
        <v>1804</v>
      </c>
      <c r="O930" s="4"/>
      <c r="P930" t="s">
        <v>825</v>
      </c>
      <c r="Q930">
        <v>8</v>
      </c>
    </row>
    <row r="931" spans="1:17" ht="14.25" customHeight="1" x14ac:dyDescent="0.25">
      <c r="A931" s="4"/>
      <c r="B931" s="21">
        <v>44225</v>
      </c>
      <c r="C931" s="5">
        <f t="shared" si="28"/>
        <v>5</v>
      </c>
      <c r="D931" s="5">
        <f t="shared" si="29"/>
        <v>6</v>
      </c>
      <c r="E931" s="1" t="s">
        <v>5</v>
      </c>
      <c r="F931" s="1" t="s">
        <v>18</v>
      </c>
      <c r="G931">
        <v>48028</v>
      </c>
      <c r="H931">
        <v>100933</v>
      </c>
      <c r="I931" s="4"/>
      <c r="J931" s="22">
        <v>0.25347222222222221</v>
      </c>
      <c r="K931" s="22">
        <v>0.12291666666666667</v>
      </c>
      <c r="L931" s="4"/>
      <c r="M931" s="4"/>
      <c r="N931" t="s">
        <v>1805</v>
      </c>
      <c r="O931" s="4"/>
      <c r="P931" t="s">
        <v>826</v>
      </c>
      <c r="Q931">
        <v>12</v>
      </c>
    </row>
    <row r="932" spans="1:17" ht="14.25" customHeight="1" x14ac:dyDescent="0.25">
      <c r="A932" s="4"/>
      <c r="B932" s="21">
        <v>44225</v>
      </c>
      <c r="C932" s="5">
        <f t="shared" si="28"/>
        <v>5</v>
      </c>
      <c r="D932" s="5">
        <f t="shared" si="29"/>
        <v>6</v>
      </c>
      <c r="E932" s="1" t="s">
        <v>6</v>
      </c>
      <c r="F932" s="1" t="s">
        <v>12</v>
      </c>
      <c r="G932">
        <v>48028</v>
      </c>
      <c r="H932">
        <v>100934</v>
      </c>
      <c r="I932" s="4"/>
      <c r="J932" s="22">
        <v>0.46180555555555558</v>
      </c>
      <c r="K932" s="22">
        <v>0.84930555555555554</v>
      </c>
      <c r="L932" s="4"/>
      <c r="M932" s="4"/>
      <c r="N932" t="s">
        <v>1806</v>
      </c>
      <c r="O932" s="4"/>
      <c r="P932" t="s">
        <v>827</v>
      </c>
      <c r="Q932">
        <v>23</v>
      </c>
    </row>
    <row r="933" spans="1:17" ht="14.25" customHeight="1" x14ac:dyDescent="0.25">
      <c r="A933" s="4"/>
      <c r="B933" s="21">
        <v>44225</v>
      </c>
      <c r="C933" s="5">
        <f t="shared" si="28"/>
        <v>5</v>
      </c>
      <c r="D933" s="5">
        <f t="shared" si="29"/>
        <v>6</v>
      </c>
      <c r="E933" s="1" t="s">
        <v>7</v>
      </c>
      <c r="F933" s="1" t="s">
        <v>16</v>
      </c>
      <c r="G933">
        <v>48028</v>
      </c>
      <c r="H933">
        <v>100937</v>
      </c>
      <c r="I933" s="4"/>
      <c r="J933" s="22">
        <v>0.45416666666666666</v>
      </c>
      <c r="K933" s="22">
        <v>0.95000000000000007</v>
      </c>
      <c r="L933" s="4"/>
      <c r="M933" s="4"/>
      <c r="N933" t="s">
        <v>1807</v>
      </c>
      <c r="O933" s="4"/>
      <c r="P933" t="s">
        <v>828</v>
      </c>
      <c r="Q933">
        <v>11</v>
      </c>
    </row>
    <row r="934" spans="1:17" ht="14.25" customHeight="1" x14ac:dyDescent="0.25">
      <c r="A934" s="4"/>
      <c r="B934" s="21">
        <v>44225</v>
      </c>
      <c r="C934" s="5">
        <f t="shared" si="28"/>
        <v>5</v>
      </c>
      <c r="D934" s="5">
        <f t="shared" si="29"/>
        <v>6</v>
      </c>
      <c r="E934" s="1" t="s">
        <v>7</v>
      </c>
      <c r="F934" s="1" t="s">
        <v>16</v>
      </c>
      <c r="G934">
        <v>48029</v>
      </c>
      <c r="H934">
        <v>100938</v>
      </c>
      <c r="I934" s="4"/>
      <c r="J934" s="22">
        <v>0.4604166666666667</v>
      </c>
      <c r="K934" s="22">
        <v>0.97638888888888886</v>
      </c>
      <c r="L934" s="4"/>
      <c r="M934" s="4"/>
      <c r="N934" t="s">
        <v>1808</v>
      </c>
      <c r="O934" s="4"/>
      <c r="P934" t="s">
        <v>829</v>
      </c>
      <c r="Q934">
        <v>15</v>
      </c>
    </row>
    <row r="935" spans="1:17" ht="14.25" customHeight="1" x14ac:dyDescent="0.25">
      <c r="A935" s="4"/>
      <c r="B935" s="21">
        <v>44225</v>
      </c>
      <c r="C935" s="5">
        <f t="shared" si="28"/>
        <v>5</v>
      </c>
      <c r="D935" s="5">
        <f t="shared" si="29"/>
        <v>6</v>
      </c>
      <c r="E935" s="1" t="s">
        <v>6</v>
      </c>
      <c r="F935" s="1" t="s">
        <v>12</v>
      </c>
      <c r="G935">
        <v>48033</v>
      </c>
      <c r="H935">
        <v>100938</v>
      </c>
      <c r="I935" s="4"/>
      <c r="J935" s="22">
        <v>0.49444444444444446</v>
      </c>
      <c r="K935" s="22">
        <v>0.84861111111111109</v>
      </c>
      <c r="L935" s="4"/>
      <c r="M935" s="4"/>
      <c r="N935" t="s">
        <v>1809</v>
      </c>
      <c r="O935" s="4"/>
      <c r="P935" t="s">
        <v>830</v>
      </c>
      <c r="Q935">
        <v>8</v>
      </c>
    </row>
    <row r="936" spans="1:17" ht="14.25" customHeight="1" x14ac:dyDescent="0.25">
      <c r="A936" s="4"/>
      <c r="B936" s="21">
        <v>44225</v>
      </c>
      <c r="C936" s="5">
        <f t="shared" si="28"/>
        <v>5</v>
      </c>
      <c r="D936" s="5">
        <f t="shared" si="29"/>
        <v>6</v>
      </c>
      <c r="E936" s="1" t="s">
        <v>5</v>
      </c>
      <c r="F936" s="1" t="s">
        <v>19</v>
      </c>
      <c r="G936">
        <v>48034</v>
      </c>
      <c r="H936">
        <v>100938</v>
      </c>
      <c r="I936" s="4"/>
      <c r="J936" s="22">
        <v>0.37291666666666662</v>
      </c>
      <c r="K936" s="22">
        <v>0.59652777777777777</v>
      </c>
      <c r="L936" s="4"/>
      <c r="M936" s="4"/>
      <c r="N936" t="s">
        <v>1810</v>
      </c>
      <c r="O936" s="4"/>
      <c r="P936" t="s">
        <v>782</v>
      </c>
      <c r="Q936">
        <v>6</v>
      </c>
    </row>
    <row r="937" spans="1:17" ht="14.25" customHeight="1" x14ac:dyDescent="0.25">
      <c r="A937" s="4"/>
      <c r="B937" s="21">
        <v>44225</v>
      </c>
      <c r="C937" s="5">
        <f t="shared" si="28"/>
        <v>5</v>
      </c>
      <c r="D937" s="5">
        <f t="shared" si="29"/>
        <v>6</v>
      </c>
      <c r="E937" s="1" t="s">
        <v>6</v>
      </c>
      <c r="F937" s="1" t="s">
        <v>12</v>
      </c>
      <c r="G937">
        <v>48034</v>
      </c>
      <c r="H937">
        <v>100938</v>
      </c>
      <c r="I937" s="4"/>
      <c r="J937" s="22">
        <v>0.26527777777777778</v>
      </c>
      <c r="K937" s="22">
        <v>0.85902777777777783</v>
      </c>
      <c r="L937" s="4"/>
      <c r="M937" s="4"/>
      <c r="N937" t="s">
        <v>1811</v>
      </c>
      <c r="O937" s="4"/>
      <c r="P937" t="s">
        <v>831</v>
      </c>
      <c r="Q937">
        <v>30</v>
      </c>
    </row>
    <row r="938" spans="1:17" ht="14.25" customHeight="1" x14ac:dyDescent="0.25">
      <c r="A938" s="4"/>
      <c r="B938" s="21">
        <v>44225</v>
      </c>
      <c r="C938" s="5">
        <f t="shared" si="28"/>
        <v>5</v>
      </c>
      <c r="D938" s="5">
        <f t="shared" si="29"/>
        <v>6</v>
      </c>
      <c r="E938" s="1" t="s">
        <v>5</v>
      </c>
      <c r="F938" s="1" t="s">
        <v>18</v>
      </c>
      <c r="G938">
        <v>48034</v>
      </c>
      <c r="H938">
        <v>100942</v>
      </c>
      <c r="I938" s="4"/>
      <c r="J938" s="22">
        <v>0.40277777777777773</v>
      </c>
      <c r="K938" s="22">
        <v>0.3430555555555555</v>
      </c>
      <c r="L938" s="4"/>
      <c r="M938" s="4"/>
      <c r="N938" t="s">
        <v>1812</v>
      </c>
      <c r="O938" s="4"/>
      <c r="P938" t="s">
        <v>832</v>
      </c>
      <c r="Q938">
        <v>33</v>
      </c>
    </row>
    <row r="939" spans="1:17" ht="14.25" customHeight="1" x14ac:dyDescent="0.25">
      <c r="A939" s="4"/>
      <c r="B939" s="21">
        <v>44225</v>
      </c>
      <c r="C939" s="5">
        <f t="shared" si="28"/>
        <v>5</v>
      </c>
      <c r="D939" s="5">
        <f t="shared" si="29"/>
        <v>6</v>
      </c>
      <c r="E939" s="1" t="s">
        <v>6</v>
      </c>
      <c r="F939" s="1" t="s">
        <v>12</v>
      </c>
      <c r="G939">
        <v>48036</v>
      </c>
      <c r="H939">
        <v>100943</v>
      </c>
      <c r="I939" s="4"/>
      <c r="J939" s="22">
        <v>0.47986111111111113</v>
      </c>
      <c r="K939" s="22">
        <v>0.19513888888888889</v>
      </c>
      <c r="L939" s="4"/>
      <c r="M939" s="4"/>
      <c r="N939" t="s">
        <v>1813</v>
      </c>
      <c r="O939" s="4"/>
      <c r="P939" t="s">
        <v>833</v>
      </c>
      <c r="Q939">
        <v>7</v>
      </c>
    </row>
    <row r="940" spans="1:17" ht="14.25" customHeight="1" x14ac:dyDescent="0.25">
      <c r="A940" s="4"/>
      <c r="B940" s="21">
        <v>44225</v>
      </c>
      <c r="C940" s="5">
        <f t="shared" si="28"/>
        <v>5</v>
      </c>
      <c r="D940" s="5">
        <f t="shared" si="29"/>
        <v>6</v>
      </c>
      <c r="E940" s="1" t="s">
        <v>5</v>
      </c>
      <c r="F940" s="1" t="s">
        <v>17</v>
      </c>
      <c r="G940">
        <v>48036</v>
      </c>
      <c r="H940">
        <v>100944</v>
      </c>
      <c r="I940" s="4"/>
      <c r="J940" s="22">
        <v>0.30833333333333335</v>
      </c>
      <c r="K940" s="22">
        <v>0.56736111111111109</v>
      </c>
      <c r="L940" s="4"/>
      <c r="M940" s="4"/>
      <c r="N940" t="s">
        <v>1814</v>
      </c>
      <c r="O940" s="4"/>
      <c r="P940" t="s">
        <v>616</v>
      </c>
      <c r="Q940">
        <v>9</v>
      </c>
    </row>
    <row r="941" spans="1:17" ht="14.25" customHeight="1" x14ac:dyDescent="0.25">
      <c r="A941" s="4"/>
      <c r="B941" s="21">
        <v>44225</v>
      </c>
      <c r="C941" s="5">
        <f t="shared" si="28"/>
        <v>5</v>
      </c>
      <c r="D941" s="5">
        <f t="shared" si="29"/>
        <v>6</v>
      </c>
      <c r="E941" s="1" t="s">
        <v>6</v>
      </c>
      <c r="F941" s="1" t="s">
        <v>13</v>
      </c>
      <c r="G941">
        <v>48039</v>
      </c>
      <c r="H941">
        <v>100945</v>
      </c>
      <c r="I941" s="4"/>
      <c r="J941" s="22">
        <v>0.2590277777777778</v>
      </c>
      <c r="K941" s="22">
        <v>0.23402777777777781</v>
      </c>
      <c r="L941" s="4"/>
      <c r="M941" s="4"/>
      <c r="N941" t="s">
        <v>1815</v>
      </c>
      <c r="O941" s="4"/>
      <c r="P941" t="s">
        <v>656</v>
      </c>
      <c r="Q941">
        <v>10</v>
      </c>
    </row>
    <row r="942" spans="1:17" ht="14.25" customHeight="1" x14ac:dyDescent="0.25">
      <c r="A942" s="4"/>
      <c r="B942" s="21">
        <v>44225</v>
      </c>
      <c r="C942" s="5">
        <f t="shared" si="28"/>
        <v>5</v>
      </c>
      <c r="D942" s="5">
        <f t="shared" si="29"/>
        <v>6</v>
      </c>
      <c r="E942" s="1" t="s">
        <v>5</v>
      </c>
      <c r="F942" s="1" t="s">
        <v>17</v>
      </c>
      <c r="G942">
        <v>48040</v>
      </c>
      <c r="H942">
        <v>100945</v>
      </c>
      <c r="I942" s="4"/>
      <c r="J942" s="22">
        <v>0.26666666666666666</v>
      </c>
      <c r="K942" s="22">
        <v>0.53055555555555556</v>
      </c>
      <c r="L942" s="4"/>
      <c r="M942" s="4"/>
      <c r="N942" t="s">
        <v>1816</v>
      </c>
      <c r="O942" s="4"/>
      <c r="P942" t="s">
        <v>834</v>
      </c>
      <c r="Q942">
        <v>26</v>
      </c>
    </row>
    <row r="943" spans="1:17" ht="14.25" customHeight="1" x14ac:dyDescent="0.25">
      <c r="A943" s="4"/>
      <c r="B943" s="21">
        <v>44225</v>
      </c>
      <c r="C943" s="5">
        <f t="shared" si="28"/>
        <v>5</v>
      </c>
      <c r="D943" s="5">
        <f t="shared" si="29"/>
        <v>6</v>
      </c>
      <c r="E943" s="1" t="s">
        <v>6</v>
      </c>
      <c r="F943" s="1" t="s">
        <v>12</v>
      </c>
      <c r="G943">
        <v>48040</v>
      </c>
      <c r="H943">
        <v>100945</v>
      </c>
      <c r="I943" s="4"/>
      <c r="J943" s="22">
        <v>0.33958333333333335</v>
      </c>
      <c r="K943" s="22">
        <v>0.60486111111111118</v>
      </c>
      <c r="L943" s="4"/>
      <c r="M943" s="4"/>
      <c r="N943" t="s">
        <v>1817</v>
      </c>
      <c r="O943" s="4"/>
      <c r="P943" t="s">
        <v>818</v>
      </c>
      <c r="Q943">
        <v>8</v>
      </c>
    </row>
    <row r="944" spans="1:17" ht="14.25" customHeight="1" x14ac:dyDescent="0.25">
      <c r="A944" s="4"/>
      <c r="B944" s="21">
        <v>44225</v>
      </c>
      <c r="C944" s="5">
        <f t="shared" si="28"/>
        <v>5</v>
      </c>
      <c r="D944" s="5">
        <f t="shared" si="29"/>
        <v>6</v>
      </c>
      <c r="E944" s="1" t="s">
        <v>5</v>
      </c>
      <c r="F944" s="1" t="s">
        <v>20</v>
      </c>
      <c r="G944">
        <v>48041</v>
      </c>
      <c r="H944">
        <v>100945</v>
      </c>
      <c r="I944" s="4"/>
      <c r="J944" s="22">
        <v>0.36944444444444446</v>
      </c>
      <c r="K944" s="22">
        <v>0.76111111111111107</v>
      </c>
      <c r="L944" s="4"/>
      <c r="M944" s="4"/>
      <c r="N944" t="s">
        <v>1818</v>
      </c>
      <c r="O944" s="4"/>
      <c r="P944" t="s">
        <v>752</v>
      </c>
      <c r="Q944">
        <v>20</v>
      </c>
    </row>
    <row r="945" spans="1:17" ht="14.25" customHeight="1" x14ac:dyDescent="0.25">
      <c r="A945" s="4"/>
      <c r="B945" s="21">
        <v>44225</v>
      </c>
      <c r="C945" s="5">
        <f t="shared" si="28"/>
        <v>5</v>
      </c>
      <c r="D945" s="5">
        <f t="shared" si="29"/>
        <v>6</v>
      </c>
      <c r="E945" s="1" t="s">
        <v>5</v>
      </c>
      <c r="F945" s="1" t="s">
        <v>20</v>
      </c>
      <c r="G945">
        <v>48042</v>
      </c>
      <c r="H945">
        <v>100947</v>
      </c>
      <c r="I945" s="4"/>
      <c r="J945" s="22">
        <v>0.49374999999999997</v>
      </c>
      <c r="K945" s="22">
        <v>0.69930555555555562</v>
      </c>
      <c r="L945" s="4"/>
      <c r="M945" s="4"/>
      <c r="N945" t="s">
        <v>1819</v>
      </c>
      <c r="O945" s="4"/>
      <c r="P945" t="s">
        <v>835</v>
      </c>
      <c r="Q945">
        <v>2</v>
      </c>
    </row>
    <row r="946" spans="1:17" ht="14.25" customHeight="1" x14ac:dyDescent="0.25">
      <c r="A946" s="4"/>
      <c r="B946" s="21">
        <v>44225</v>
      </c>
      <c r="C946" s="5">
        <f t="shared" si="28"/>
        <v>5</v>
      </c>
      <c r="D946" s="5">
        <f t="shared" si="29"/>
        <v>6</v>
      </c>
      <c r="E946" s="1" t="s">
        <v>6</v>
      </c>
      <c r="F946" s="1" t="s">
        <v>13</v>
      </c>
      <c r="G946">
        <v>48043</v>
      </c>
      <c r="H946">
        <v>100947</v>
      </c>
      <c r="I946" s="4"/>
      <c r="J946" s="22">
        <v>0.30486111111111108</v>
      </c>
      <c r="K946" s="22">
        <v>0.66666666666666663</v>
      </c>
      <c r="L946" s="4"/>
      <c r="M946" s="4"/>
      <c r="N946" t="s">
        <v>1820</v>
      </c>
      <c r="O946" s="4"/>
      <c r="P946" t="s">
        <v>836</v>
      </c>
      <c r="Q946">
        <v>24</v>
      </c>
    </row>
    <row r="947" spans="1:17" ht="14.25" customHeight="1" x14ac:dyDescent="0.25">
      <c r="A947" s="4"/>
      <c r="B947" s="21">
        <v>44225</v>
      </c>
      <c r="C947" s="5">
        <f t="shared" si="28"/>
        <v>5</v>
      </c>
      <c r="D947" s="5">
        <f t="shared" si="29"/>
        <v>6</v>
      </c>
      <c r="E947" s="1" t="s">
        <v>7</v>
      </c>
      <c r="F947" s="1" t="s">
        <v>14</v>
      </c>
      <c r="G947">
        <v>48044</v>
      </c>
      <c r="H947">
        <v>100948</v>
      </c>
      <c r="I947" s="4"/>
      <c r="J947" s="22">
        <v>0.45555555555555555</v>
      </c>
      <c r="K947" s="22">
        <v>0.64166666666666672</v>
      </c>
      <c r="L947" s="4"/>
      <c r="M947" s="4"/>
      <c r="N947" t="s">
        <v>1821</v>
      </c>
      <c r="O947" s="4"/>
      <c r="P947" t="s">
        <v>837</v>
      </c>
      <c r="Q947">
        <v>13</v>
      </c>
    </row>
    <row r="948" spans="1:17" ht="14.25" customHeight="1" x14ac:dyDescent="0.25">
      <c r="A948" s="4"/>
      <c r="B948" s="21">
        <v>44225</v>
      </c>
      <c r="C948" s="5">
        <f t="shared" si="28"/>
        <v>5</v>
      </c>
      <c r="D948" s="5">
        <f t="shared" si="29"/>
        <v>6</v>
      </c>
      <c r="E948" s="1" t="s">
        <v>5</v>
      </c>
      <c r="F948" s="1" t="s">
        <v>20</v>
      </c>
      <c r="G948">
        <v>48044</v>
      </c>
      <c r="H948">
        <v>100949</v>
      </c>
      <c r="I948" s="4"/>
      <c r="J948" s="22">
        <v>0.4458333333333333</v>
      </c>
      <c r="K948" s="22">
        <v>0.51458333333333328</v>
      </c>
      <c r="L948" s="4"/>
      <c r="M948" s="4"/>
      <c r="N948" t="s">
        <v>1822</v>
      </c>
      <c r="O948" s="4"/>
      <c r="P948" t="s">
        <v>838</v>
      </c>
      <c r="Q948">
        <v>12</v>
      </c>
    </row>
    <row r="949" spans="1:17" ht="14.25" customHeight="1" x14ac:dyDescent="0.25">
      <c r="A949" s="4"/>
      <c r="B949" s="21">
        <v>44225</v>
      </c>
      <c r="C949" s="5">
        <f t="shared" si="28"/>
        <v>5</v>
      </c>
      <c r="D949" s="5">
        <f t="shared" si="29"/>
        <v>6</v>
      </c>
      <c r="E949" s="1" t="s">
        <v>6</v>
      </c>
      <c r="F949" s="1" t="s">
        <v>13</v>
      </c>
      <c r="G949">
        <v>48045</v>
      </c>
      <c r="H949">
        <v>100949</v>
      </c>
      <c r="I949" s="4"/>
      <c r="J949" s="22">
        <v>0.36527777777777781</v>
      </c>
      <c r="K949" s="22">
        <v>0.19930555555555554</v>
      </c>
      <c r="L949" s="4"/>
      <c r="M949" s="4"/>
      <c r="N949" t="s">
        <v>1823</v>
      </c>
      <c r="O949" s="4"/>
      <c r="P949" t="s">
        <v>839</v>
      </c>
      <c r="Q949">
        <v>20</v>
      </c>
    </row>
    <row r="950" spans="1:17" ht="14.25" customHeight="1" x14ac:dyDescent="0.25">
      <c r="A950" s="4"/>
      <c r="B950" s="21">
        <v>44225</v>
      </c>
      <c r="C950" s="5">
        <f t="shared" si="28"/>
        <v>5</v>
      </c>
      <c r="D950" s="5">
        <f t="shared" si="29"/>
        <v>6</v>
      </c>
      <c r="E950" s="1" t="s">
        <v>6</v>
      </c>
      <c r="F950" s="1" t="s">
        <v>11</v>
      </c>
      <c r="G950">
        <v>48046</v>
      </c>
      <c r="H950">
        <v>100950</v>
      </c>
      <c r="I950" s="4"/>
      <c r="J950" s="22">
        <v>0.26527777777777778</v>
      </c>
      <c r="K950" s="22">
        <v>0.33333333333333331</v>
      </c>
      <c r="L950" s="4"/>
      <c r="M950" s="4"/>
      <c r="N950" t="s">
        <v>1824</v>
      </c>
      <c r="O950" s="4"/>
      <c r="P950" t="s">
        <v>840</v>
      </c>
      <c r="Q950">
        <v>13</v>
      </c>
    </row>
    <row r="951" spans="1:17" ht="14.25" customHeight="1" x14ac:dyDescent="0.25">
      <c r="A951" s="4"/>
      <c r="B951" s="21">
        <v>44225</v>
      </c>
      <c r="C951" s="5">
        <f t="shared" si="28"/>
        <v>5</v>
      </c>
      <c r="D951" s="5">
        <f t="shared" si="29"/>
        <v>6</v>
      </c>
      <c r="E951" s="1" t="s">
        <v>6</v>
      </c>
      <c r="F951" s="1" t="s">
        <v>12</v>
      </c>
      <c r="G951">
        <v>48047</v>
      </c>
      <c r="H951">
        <v>100950</v>
      </c>
      <c r="I951" s="4"/>
      <c r="J951" s="22">
        <v>0.35138888888888892</v>
      </c>
      <c r="K951" s="22">
        <v>0.19791666666666666</v>
      </c>
      <c r="L951" s="4"/>
      <c r="M951" s="4"/>
      <c r="N951" t="s">
        <v>1825</v>
      </c>
      <c r="O951" s="4"/>
      <c r="P951" t="s">
        <v>841</v>
      </c>
      <c r="Q951">
        <v>23</v>
      </c>
    </row>
    <row r="952" spans="1:17" ht="14.25" customHeight="1" x14ac:dyDescent="0.25">
      <c r="A952" s="4"/>
      <c r="B952" s="21">
        <v>44225</v>
      </c>
      <c r="C952" s="5">
        <f t="shared" si="28"/>
        <v>5</v>
      </c>
      <c r="D952" s="5">
        <f t="shared" si="29"/>
        <v>6</v>
      </c>
      <c r="E952" s="1" t="s">
        <v>7</v>
      </c>
      <c r="F952" s="1" t="s">
        <v>16</v>
      </c>
      <c r="G952">
        <v>48048</v>
      </c>
      <c r="H952">
        <v>100951</v>
      </c>
      <c r="I952" s="4"/>
      <c r="J952" s="22">
        <v>0.25138888888888888</v>
      </c>
      <c r="K952" s="22">
        <v>0.65625</v>
      </c>
      <c r="L952" s="4"/>
      <c r="M952" s="4"/>
      <c r="N952" t="s">
        <v>1826</v>
      </c>
      <c r="O952" s="4"/>
      <c r="P952" t="s">
        <v>443</v>
      </c>
      <c r="Q952">
        <v>29</v>
      </c>
    </row>
    <row r="953" spans="1:17" ht="14.25" customHeight="1" x14ac:dyDescent="0.25">
      <c r="A953" s="4"/>
      <c r="B953" s="21">
        <v>44225</v>
      </c>
      <c r="C953" s="5">
        <f t="shared" si="28"/>
        <v>5</v>
      </c>
      <c r="D953" s="5">
        <f t="shared" si="29"/>
        <v>6</v>
      </c>
      <c r="E953" s="1" t="s">
        <v>6</v>
      </c>
      <c r="F953" s="1" t="s">
        <v>12</v>
      </c>
      <c r="G953">
        <v>48049</v>
      </c>
      <c r="H953">
        <v>100952</v>
      </c>
      <c r="I953" s="4"/>
      <c r="J953" s="22">
        <v>0.4909722222222222</v>
      </c>
      <c r="K953" s="22">
        <v>0.26458333333333334</v>
      </c>
      <c r="L953" s="4"/>
      <c r="M953" s="4"/>
      <c r="N953" t="s">
        <v>1827</v>
      </c>
      <c r="O953" s="4"/>
      <c r="P953" t="s">
        <v>842</v>
      </c>
      <c r="Q953">
        <v>15</v>
      </c>
    </row>
    <row r="954" spans="1:17" ht="14.25" customHeight="1" x14ac:dyDescent="0.25">
      <c r="A954" s="4"/>
      <c r="B954" s="21">
        <v>44225</v>
      </c>
      <c r="C954" s="5">
        <f t="shared" si="28"/>
        <v>5</v>
      </c>
      <c r="D954" s="5">
        <f t="shared" si="29"/>
        <v>6</v>
      </c>
      <c r="E954" s="1" t="s">
        <v>7</v>
      </c>
      <c r="F954" s="1" t="s">
        <v>15</v>
      </c>
      <c r="G954">
        <v>48051</v>
      </c>
      <c r="H954">
        <v>100953</v>
      </c>
      <c r="I954" s="4"/>
      <c r="J954" s="22">
        <v>0.4465277777777778</v>
      </c>
      <c r="K954" s="22">
        <v>6.9444444444444434E-2</v>
      </c>
      <c r="L954" s="4"/>
      <c r="M954" s="4"/>
      <c r="N954" t="s">
        <v>1828</v>
      </c>
      <c r="O954" s="4"/>
      <c r="P954" t="s">
        <v>843</v>
      </c>
      <c r="Q954">
        <v>19</v>
      </c>
    </row>
    <row r="955" spans="1:17" ht="14.25" customHeight="1" x14ac:dyDescent="0.25">
      <c r="A955" s="4"/>
      <c r="B955" s="21">
        <v>44225</v>
      </c>
      <c r="C955" s="5">
        <f t="shared" si="28"/>
        <v>5</v>
      </c>
      <c r="D955" s="5">
        <f t="shared" si="29"/>
        <v>6</v>
      </c>
      <c r="E955" s="1" t="s">
        <v>6</v>
      </c>
      <c r="F955" s="1" t="s">
        <v>11</v>
      </c>
      <c r="G955">
        <v>48056</v>
      </c>
      <c r="H955">
        <v>100953</v>
      </c>
      <c r="I955" s="4"/>
      <c r="J955" s="22">
        <v>0.29166666666666669</v>
      </c>
      <c r="K955" s="22">
        <v>0.46249999999999997</v>
      </c>
      <c r="L955" s="4"/>
      <c r="M955" s="4"/>
      <c r="N955" t="s">
        <v>1829</v>
      </c>
      <c r="O955" s="4"/>
      <c r="P955" t="s">
        <v>844</v>
      </c>
      <c r="Q955">
        <v>2</v>
      </c>
    </row>
    <row r="956" spans="1:17" ht="14.25" customHeight="1" x14ac:dyDescent="0.25">
      <c r="A956" s="4"/>
      <c r="B956" s="21">
        <v>44225</v>
      </c>
      <c r="C956" s="5">
        <f t="shared" si="28"/>
        <v>5</v>
      </c>
      <c r="D956" s="5">
        <f t="shared" si="29"/>
        <v>6</v>
      </c>
      <c r="E956" s="1" t="s">
        <v>6</v>
      </c>
      <c r="F956" s="1" t="s">
        <v>12</v>
      </c>
      <c r="G956">
        <v>48056</v>
      </c>
      <c r="H956">
        <v>100953</v>
      </c>
      <c r="I956" s="4"/>
      <c r="J956" s="22">
        <v>0.3527777777777778</v>
      </c>
      <c r="K956" s="22">
        <v>0.46180555555555558</v>
      </c>
      <c r="L956" s="4"/>
      <c r="M956" s="4"/>
      <c r="N956" t="s">
        <v>1830</v>
      </c>
      <c r="O956" s="4"/>
      <c r="P956" t="s">
        <v>61</v>
      </c>
      <c r="Q956">
        <v>27</v>
      </c>
    </row>
    <row r="957" spans="1:17" ht="14.25" customHeight="1" x14ac:dyDescent="0.25">
      <c r="A957" s="4"/>
      <c r="B957" s="21">
        <v>44226</v>
      </c>
      <c r="C957" s="5">
        <f t="shared" si="28"/>
        <v>5</v>
      </c>
      <c r="D957" s="5">
        <f t="shared" si="29"/>
        <v>7</v>
      </c>
      <c r="E957" s="1" t="s">
        <v>6</v>
      </c>
      <c r="F957" s="1" t="s">
        <v>12</v>
      </c>
      <c r="G957">
        <v>48056</v>
      </c>
      <c r="H957">
        <v>100955</v>
      </c>
      <c r="I957" s="4"/>
      <c r="J957" s="22">
        <v>0.38611111111111113</v>
      </c>
      <c r="K957" s="22">
        <v>0.65277777777777779</v>
      </c>
      <c r="L957" s="4"/>
      <c r="M957" s="4"/>
      <c r="N957" t="s">
        <v>1831</v>
      </c>
      <c r="O957" s="4"/>
      <c r="P957" t="s">
        <v>845</v>
      </c>
      <c r="Q957">
        <v>25</v>
      </c>
    </row>
    <row r="958" spans="1:17" ht="14.25" customHeight="1" x14ac:dyDescent="0.25">
      <c r="A958" s="4"/>
      <c r="B958" s="21">
        <v>44226</v>
      </c>
      <c r="C958" s="5">
        <f t="shared" si="28"/>
        <v>5</v>
      </c>
      <c r="D958" s="5">
        <f t="shared" si="29"/>
        <v>7</v>
      </c>
      <c r="E958" s="1" t="s">
        <v>7</v>
      </c>
      <c r="F958" s="1" t="s">
        <v>16</v>
      </c>
      <c r="G958">
        <v>48056</v>
      </c>
      <c r="H958">
        <v>100955</v>
      </c>
      <c r="I958" s="4"/>
      <c r="J958" s="22">
        <v>0.36736111111111108</v>
      </c>
      <c r="K958" s="22">
        <v>0.25625000000000003</v>
      </c>
      <c r="L958" s="4"/>
      <c r="M958" s="4"/>
      <c r="N958" t="s">
        <v>1832</v>
      </c>
      <c r="O958" s="4"/>
      <c r="P958" t="s">
        <v>846</v>
      </c>
      <c r="Q958">
        <v>9</v>
      </c>
    </row>
    <row r="959" spans="1:17" ht="14.25" customHeight="1" x14ac:dyDescent="0.25">
      <c r="A959" s="4"/>
      <c r="B959" s="21">
        <v>44226</v>
      </c>
      <c r="C959" s="5">
        <f t="shared" si="28"/>
        <v>5</v>
      </c>
      <c r="D959" s="5">
        <f t="shared" si="29"/>
        <v>7</v>
      </c>
      <c r="E959" s="1" t="s">
        <v>6</v>
      </c>
      <c r="F959" s="1" t="s">
        <v>13</v>
      </c>
      <c r="G959">
        <v>48058</v>
      </c>
      <c r="H959">
        <v>100956</v>
      </c>
      <c r="I959" s="4"/>
      <c r="J959" s="22">
        <v>0.2951388888888889</v>
      </c>
      <c r="K959" s="22">
        <v>0.84861111111111109</v>
      </c>
      <c r="L959" s="4"/>
      <c r="M959" s="4"/>
      <c r="N959" t="s">
        <v>1833</v>
      </c>
      <c r="O959" s="4"/>
      <c r="P959" t="s">
        <v>798</v>
      </c>
      <c r="Q959">
        <v>27</v>
      </c>
    </row>
    <row r="960" spans="1:17" ht="14.25" customHeight="1" x14ac:dyDescent="0.25">
      <c r="A960" s="4"/>
      <c r="B960" s="21">
        <v>44226</v>
      </c>
      <c r="C960" s="5">
        <f t="shared" si="28"/>
        <v>5</v>
      </c>
      <c r="D960" s="5">
        <f t="shared" si="29"/>
        <v>7</v>
      </c>
      <c r="E960" s="1" t="s">
        <v>5</v>
      </c>
      <c r="F960" s="1" t="s">
        <v>19</v>
      </c>
      <c r="G960">
        <v>48058</v>
      </c>
      <c r="H960">
        <v>100958</v>
      </c>
      <c r="I960" s="4"/>
      <c r="J960" s="22">
        <v>0.36041666666666666</v>
      </c>
      <c r="K960" s="22">
        <v>0.81736111111111109</v>
      </c>
      <c r="L960" s="4"/>
      <c r="M960" s="4"/>
      <c r="N960" t="s">
        <v>1834</v>
      </c>
      <c r="O960" s="4"/>
      <c r="P960" t="s">
        <v>592</v>
      </c>
      <c r="Q960">
        <v>33</v>
      </c>
    </row>
    <row r="961" spans="1:18" ht="14.25" customHeight="1" x14ac:dyDescent="0.25">
      <c r="A961" s="4"/>
      <c r="B961" s="21">
        <v>44226</v>
      </c>
      <c r="C961" s="5">
        <f t="shared" si="28"/>
        <v>5</v>
      </c>
      <c r="D961" s="5">
        <f t="shared" si="29"/>
        <v>7</v>
      </c>
      <c r="E961" s="1" t="s">
        <v>5</v>
      </c>
      <c r="F961" s="1" t="s">
        <v>20</v>
      </c>
      <c r="G961">
        <v>48059</v>
      </c>
      <c r="H961">
        <v>100959</v>
      </c>
      <c r="I961" s="4"/>
      <c r="J961" s="22">
        <v>0.49374999999999997</v>
      </c>
      <c r="K961" s="22">
        <v>0.5229166666666667</v>
      </c>
      <c r="L961" s="4"/>
      <c r="M961" s="4"/>
      <c r="N961" t="s">
        <v>1835</v>
      </c>
      <c r="O961" s="4"/>
      <c r="P961" t="s">
        <v>248</v>
      </c>
      <c r="Q961">
        <v>23</v>
      </c>
    </row>
    <row r="962" spans="1:18" ht="14.25" customHeight="1" x14ac:dyDescent="0.25">
      <c r="A962" s="4"/>
      <c r="B962" s="21">
        <v>44226</v>
      </c>
      <c r="C962" s="5">
        <f t="shared" si="28"/>
        <v>5</v>
      </c>
      <c r="D962" s="5">
        <f t="shared" si="29"/>
        <v>7</v>
      </c>
      <c r="E962" s="1" t="s">
        <v>5</v>
      </c>
      <c r="F962" s="1" t="s">
        <v>19</v>
      </c>
      <c r="G962">
        <v>48061</v>
      </c>
      <c r="H962">
        <v>100962</v>
      </c>
      <c r="I962" s="4"/>
      <c r="J962" s="22">
        <v>0.42569444444444443</v>
      </c>
      <c r="K962" s="22">
        <v>0.4465277777777778</v>
      </c>
      <c r="L962" s="4"/>
      <c r="M962" s="4"/>
      <c r="N962" t="s">
        <v>1836</v>
      </c>
      <c r="O962" s="4"/>
      <c r="P962" t="s">
        <v>801</v>
      </c>
      <c r="Q962">
        <v>17</v>
      </c>
    </row>
    <row r="963" spans="1:18" ht="14.25" customHeight="1" x14ac:dyDescent="0.25">
      <c r="A963" s="4"/>
      <c r="B963" s="21">
        <v>44226</v>
      </c>
      <c r="C963" s="5">
        <f t="shared" ref="C963:C1001" si="30">WEEKNUM(B963)</f>
        <v>5</v>
      </c>
      <c r="D963" s="5">
        <f t="shared" ref="D963:D1001" si="31">WEEKDAY(B963)</f>
        <v>7</v>
      </c>
      <c r="E963" s="1" t="s">
        <v>6</v>
      </c>
      <c r="F963" s="1" t="s">
        <v>13</v>
      </c>
      <c r="G963">
        <v>48063</v>
      </c>
      <c r="H963">
        <v>100963</v>
      </c>
      <c r="I963" s="4"/>
      <c r="J963" s="22">
        <v>0.38263888888888892</v>
      </c>
      <c r="K963" s="22">
        <v>0.5</v>
      </c>
      <c r="L963" s="4"/>
      <c r="M963" s="4"/>
      <c r="N963" t="s">
        <v>1837</v>
      </c>
      <c r="O963" s="4"/>
      <c r="P963" t="s">
        <v>847</v>
      </c>
      <c r="Q963">
        <v>26</v>
      </c>
    </row>
    <row r="964" spans="1:18" ht="14.25" customHeight="1" x14ac:dyDescent="0.25">
      <c r="A964" s="4"/>
      <c r="B964" s="21">
        <v>44226</v>
      </c>
      <c r="C964" s="5">
        <f t="shared" si="30"/>
        <v>5</v>
      </c>
      <c r="D964" s="5">
        <f t="shared" si="31"/>
        <v>7</v>
      </c>
      <c r="E964" s="1" t="s">
        <v>5</v>
      </c>
      <c r="F964" s="1" t="s">
        <v>20</v>
      </c>
      <c r="G964">
        <v>48064</v>
      </c>
      <c r="H964">
        <v>100966</v>
      </c>
      <c r="I964" s="4"/>
      <c r="J964" s="22">
        <v>0.39652777777777781</v>
      </c>
      <c r="K964" s="22">
        <v>0.80972222222222223</v>
      </c>
      <c r="L964" s="4"/>
      <c r="M964" s="4"/>
      <c r="N964" t="s">
        <v>1838</v>
      </c>
      <c r="O964" s="4"/>
      <c r="P964" t="s">
        <v>619</v>
      </c>
      <c r="Q964">
        <v>20</v>
      </c>
    </row>
    <row r="965" spans="1:18" ht="14.25" customHeight="1" x14ac:dyDescent="0.25">
      <c r="A965" s="4"/>
      <c r="B965" s="21">
        <v>44226</v>
      </c>
      <c r="C965" s="5">
        <f t="shared" si="30"/>
        <v>5</v>
      </c>
      <c r="D965" s="5">
        <f t="shared" si="31"/>
        <v>7</v>
      </c>
      <c r="E965" s="1" t="s">
        <v>7</v>
      </c>
      <c r="F965" s="1" t="s">
        <v>15</v>
      </c>
      <c r="G965">
        <v>48065</v>
      </c>
      <c r="H965">
        <v>100966</v>
      </c>
      <c r="I965" s="4"/>
      <c r="J965" s="22">
        <v>0.44722222222222219</v>
      </c>
      <c r="K965" s="22">
        <v>3.6805555555555557E-2</v>
      </c>
      <c r="L965" s="4"/>
      <c r="M965" s="4"/>
      <c r="N965" t="s">
        <v>1839</v>
      </c>
      <c r="O965" s="4"/>
      <c r="P965" t="s">
        <v>848</v>
      </c>
      <c r="Q965">
        <v>32</v>
      </c>
    </row>
    <row r="966" spans="1:18" ht="14.25" customHeight="1" x14ac:dyDescent="0.25">
      <c r="A966" s="4"/>
      <c r="B966" s="21">
        <v>44226</v>
      </c>
      <c r="C966" s="5">
        <f t="shared" si="30"/>
        <v>5</v>
      </c>
      <c r="D966" s="5">
        <f t="shared" si="31"/>
        <v>7</v>
      </c>
      <c r="E966" s="1" t="s">
        <v>6</v>
      </c>
      <c r="F966" s="1" t="s">
        <v>13</v>
      </c>
      <c r="G966">
        <v>48065</v>
      </c>
      <c r="H966">
        <v>100967</v>
      </c>
      <c r="I966" s="4"/>
      <c r="J966" s="22">
        <v>0.27638888888888885</v>
      </c>
      <c r="K966" s="22">
        <v>0.14930555555555555</v>
      </c>
      <c r="L966" s="4"/>
      <c r="M966" s="4"/>
      <c r="N966" t="s">
        <v>1840</v>
      </c>
      <c r="O966" s="4"/>
      <c r="P966" t="s">
        <v>624</v>
      </c>
      <c r="Q966">
        <v>6</v>
      </c>
      <c r="R966" s="1" t="str">
        <f>IF(E966=F966,"egal","")</f>
        <v/>
      </c>
    </row>
    <row r="967" spans="1:18" ht="14.25" customHeight="1" x14ac:dyDescent="0.25">
      <c r="A967" s="4"/>
      <c r="B967" s="21">
        <v>44226</v>
      </c>
      <c r="C967" s="5">
        <f t="shared" si="30"/>
        <v>5</v>
      </c>
      <c r="D967" s="5">
        <f t="shared" si="31"/>
        <v>7</v>
      </c>
      <c r="E967" s="1" t="s">
        <v>6</v>
      </c>
      <c r="F967" s="1" t="s">
        <v>12</v>
      </c>
      <c r="G967">
        <v>48065</v>
      </c>
      <c r="H967">
        <v>100967</v>
      </c>
      <c r="I967" s="4"/>
      <c r="J967" s="22">
        <v>0.43958333333333338</v>
      </c>
      <c r="K967" s="22">
        <v>0.42777777777777781</v>
      </c>
      <c r="L967" s="4"/>
      <c r="M967" s="4"/>
      <c r="N967" t="s">
        <v>1841</v>
      </c>
      <c r="O967" s="4"/>
      <c r="P967" t="s">
        <v>849</v>
      </c>
      <c r="Q967">
        <v>5</v>
      </c>
    </row>
    <row r="968" spans="1:18" ht="14.25" customHeight="1" x14ac:dyDescent="0.25">
      <c r="A968" s="4"/>
      <c r="B968" s="21">
        <v>44226</v>
      </c>
      <c r="C968" s="5">
        <f t="shared" si="30"/>
        <v>5</v>
      </c>
      <c r="D968" s="5">
        <f t="shared" si="31"/>
        <v>7</v>
      </c>
      <c r="E968" s="1" t="s">
        <v>7</v>
      </c>
      <c r="F968" s="1" t="s">
        <v>14</v>
      </c>
      <c r="G968">
        <v>48066</v>
      </c>
      <c r="H968">
        <v>100968</v>
      </c>
      <c r="I968" s="4"/>
      <c r="J968" s="22">
        <v>0.27361111111111108</v>
      </c>
      <c r="K968" s="22">
        <v>0.42638888888888887</v>
      </c>
      <c r="L968" s="4"/>
      <c r="M968" s="4"/>
      <c r="N968" t="s">
        <v>1842</v>
      </c>
      <c r="O968" s="4"/>
      <c r="P968" t="s">
        <v>850</v>
      </c>
      <c r="Q968">
        <v>17</v>
      </c>
    </row>
    <row r="969" spans="1:18" ht="14.25" customHeight="1" x14ac:dyDescent="0.25">
      <c r="A969" s="4"/>
      <c r="B969" s="21">
        <v>44226</v>
      </c>
      <c r="C969" s="5">
        <f t="shared" si="30"/>
        <v>5</v>
      </c>
      <c r="D969" s="5">
        <f t="shared" si="31"/>
        <v>7</v>
      </c>
      <c r="E969" s="1" t="s">
        <v>5</v>
      </c>
      <c r="F969" s="1" t="s">
        <v>19</v>
      </c>
      <c r="G969">
        <v>48066</v>
      </c>
      <c r="H969">
        <v>100970</v>
      </c>
      <c r="I969" s="4"/>
      <c r="J969" s="22">
        <v>0.49027777777777781</v>
      </c>
      <c r="K969" s="22">
        <v>0.96388888888888891</v>
      </c>
      <c r="L969" s="4"/>
      <c r="M969" s="4"/>
      <c r="N969" t="s">
        <v>1843</v>
      </c>
      <c r="O969" s="4"/>
      <c r="P969" t="s">
        <v>851</v>
      </c>
      <c r="Q969">
        <v>13</v>
      </c>
    </row>
    <row r="970" spans="1:18" ht="14.25" customHeight="1" x14ac:dyDescent="0.25">
      <c r="A970" s="4"/>
      <c r="B970" s="21">
        <v>44226</v>
      </c>
      <c r="C970" s="5">
        <f t="shared" si="30"/>
        <v>5</v>
      </c>
      <c r="D970" s="5">
        <f t="shared" si="31"/>
        <v>7</v>
      </c>
      <c r="E970" s="1" t="s">
        <v>7</v>
      </c>
      <c r="F970" s="1" t="s">
        <v>14</v>
      </c>
      <c r="G970">
        <v>48068</v>
      </c>
      <c r="H970">
        <v>100973</v>
      </c>
      <c r="I970" s="4"/>
      <c r="J970" s="22">
        <v>0.4694444444444445</v>
      </c>
      <c r="K970" s="22">
        <v>7.6388888888888886E-3</v>
      </c>
      <c r="L970" s="4"/>
      <c r="M970" s="4"/>
      <c r="N970" t="s">
        <v>1844</v>
      </c>
      <c r="O970" s="4"/>
      <c r="P970" t="s">
        <v>852</v>
      </c>
      <c r="Q970">
        <v>21</v>
      </c>
    </row>
    <row r="971" spans="1:18" ht="14.25" customHeight="1" x14ac:dyDescent="0.25">
      <c r="A971" s="4"/>
      <c r="B971" s="21">
        <v>44226</v>
      </c>
      <c r="C971" s="5">
        <f t="shared" si="30"/>
        <v>5</v>
      </c>
      <c r="D971" s="5">
        <f t="shared" si="31"/>
        <v>7</v>
      </c>
      <c r="E971" s="1" t="s">
        <v>6</v>
      </c>
      <c r="F971" s="1" t="s">
        <v>12</v>
      </c>
      <c r="G971">
        <v>48068</v>
      </c>
      <c r="H971">
        <v>100973</v>
      </c>
      <c r="I971" s="4"/>
      <c r="J971" s="22">
        <v>0.3354166666666667</v>
      </c>
      <c r="K971" s="22">
        <v>0.81805555555555554</v>
      </c>
      <c r="L971" s="4"/>
      <c r="M971" s="4"/>
      <c r="N971" t="s">
        <v>1845</v>
      </c>
      <c r="O971" s="4"/>
      <c r="P971" t="s">
        <v>853</v>
      </c>
      <c r="Q971">
        <v>23</v>
      </c>
    </row>
    <row r="972" spans="1:18" ht="14.25" customHeight="1" x14ac:dyDescent="0.25">
      <c r="A972" s="4"/>
      <c r="B972" s="21">
        <v>44226</v>
      </c>
      <c r="C972" s="5">
        <f t="shared" si="30"/>
        <v>5</v>
      </c>
      <c r="D972" s="5">
        <f t="shared" si="31"/>
        <v>7</v>
      </c>
      <c r="E972" s="1" t="s">
        <v>5</v>
      </c>
      <c r="F972" s="1" t="s">
        <v>19</v>
      </c>
      <c r="G972">
        <v>48069</v>
      </c>
      <c r="H972">
        <v>100976</v>
      </c>
      <c r="I972" s="4"/>
      <c r="J972" s="22">
        <v>0.34791666666666665</v>
      </c>
      <c r="K972" s="22">
        <v>0.36249999999999999</v>
      </c>
      <c r="L972" s="4"/>
      <c r="M972" s="4"/>
      <c r="N972" t="s">
        <v>1846</v>
      </c>
      <c r="O972" s="4"/>
      <c r="P972" t="s">
        <v>854</v>
      </c>
      <c r="Q972">
        <v>21</v>
      </c>
    </row>
    <row r="973" spans="1:18" ht="14.25" customHeight="1" x14ac:dyDescent="0.25">
      <c r="A973" s="4"/>
      <c r="B973" s="21">
        <v>44226</v>
      </c>
      <c r="C973" s="5">
        <f t="shared" si="30"/>
        <v>5</v>
      </c>
      <c r="D973" s="5">
        <f t="shared" si="31"/>
        <v>7</v>
      </c>
      <c r="E973" s="1" t="s">
        <v>7</v>
      </c>
      <c r="F973" s="1" t="s">
        <v>16</v>
      </c>
      <c r="G973">
        <v>48069</v>
      </c>
      <c r="H973">
        <v>100976</v>
      </c>
      <c r="I973" s="4"/>
      <c r="J973" s="22">
        <v>0.46249999999999997</v>
      </c>
      <c r="K973" s="22">
        <v>0.18541666666666667</v>
      </c>
      <c r="L973" s="4"/>
      <c r="M973" s="4"/>
      <c r="N973" t="s">
        <v>1847</v>
      </c>
      <c r="O973" s="4"/>
      <c r="P973" t="s">
        <v>855</v>
      </c>
      <c r="Q973">
        <v>8</v>
      </c>
    </row>
    <row r="974" spans="1:18" ht="14.25" customHeight="1" x14ac:dyDescent="0.25">
      <c r="A974" s="4"/>
      <c r="B974" s="21">
        <v>44226</v>
      </c>
      <c r="C974" s="5">
        <f t="shared" si="30"/>
        <v>5</v>
      </c>
      <c r="D974" s="5">
        <f t="shared" si="31"/>
        <v>7</v>
      </c>
      <c r="E974" s="1" t="s">
        <v>5</v>
      </c>
      <c r="F974" s="1" t="s">
        <v>19</v>
      </c>
      <c r="G974">
        <v>48070</v>
      </c>
      <c r="H974">
        <v>100976</v>
      </c>
      <c r="I974" s="4"/>
      <c r="J974" s="22">
        <v>0.3354166666666667</v>
      </c>
      <c r="K974" s="22">
        <v>0.17777777777777778</v>
      </c>
      <c r="L974" s="4"/>
      <c r="M974" s="4"/>
      <c r="N974" t="s">
        <v>1848</v>
      </c>
      <c r="O974" s="4"/>
      <c r="P974" t="s">
        <v>856</v>
      </c>
      <c r="Q974">
        <v>26</v>
      </c>
    </row>
    <row r="975" spans="1:18" ht="14.25" customHeight="1" x14ac:dyDescent="0.25">
      <c r="A975" s="4"/>
      <c r="B975" s="21">
        <v>44226</v>
      </c>
      <c r="C975" s="5">
        <f t="shared" si="30"/>
        <v>5</v>
      </c>
      <c r="D975" s="5">
        <f t="shared" si="31"/>
        <v>7</v>
      </c>
      <c r="E975" s="1" t="s">
        <v>6</v>
      </c>
      <c r="F975" s="1" t="s">
        <v>12</v>
      </c>
      <c r="G975">
        <v>48070</v>
      </c>
      <c r="H975">
        <v>100977</v>
      </c>
      <c r="I975" s="4"/>
      <c r="J975" s="22">
        <v>0.26458333333333334</v>
      </c>
      <c r="K975" s="22">
        <v>0.78749999999999998</v>
      </c>
      <c r="L975" s="4"/>
      <c r="M975" s="4"/>
      <c r="N975" t="s">
        <v>1849</v>
      </c>
      <c r="O975" s="4"/>
      <c r="P975" t="s">
        <v>857</v>
      </c>
      <c r="Q975">
        <v>5</v>
      </c>
    </row>
    <row r="976" spans="1:18" ht="14.25" customHeight="1" x14ac:dyDescent="0.25">
      <c r="A976" s="4"/>
      <c r="B976" s="21">
        <v>44226</v>
      </c>
      <c r="C976" s="5">
        <f t="shared" si="30"/>
        <v>5</v>
      </c>
      <c r="D976" s="5">
        <f t="shared" si="31"/>
        <v>7</v>
      </c>
      <c r="E976" s="1" t="s">
        <v>7</v>
      </c>
      <c r="F976" s="1" t="s">
        <v>15</v>
      </c>
      <c r="G976">
        <v>48074</v>
      </c>
      <c r="H976">
        <v>100979</v>
      </c>
      <c r="I976" s="4"/>
      <c r="J976" s="22">
        <v>0.26805555555555555</v>
      </c>
      <c r="K976" s="22">
        <v>0.61319444444444449</v>
      </c>
      <c r="L976" s="4"/>
      <c r="M976" s="4"/>
      <c r="N976" t="s">
        <v>1850</v>
      </c>
      <c r="O976" s="4"/>
      <c r="P976" t="s">
        <v>858</v>
      </c>
      <c r="Q976">
        <v>4</v>
      </c>
    </row>
    <row r="977" spans="1:17" ht="14.25" customHeight="1" x14ac:dyDescent="0.25">
      <c r="A977" s="4"/>
      <c r="B977" s="21">
        <v>44226</v>
      </c>
      <c r="C977" s="5">
        <f t="shared" si="30"/>
        <v>5</v>
      </c>
      <c r="D977" s="5">
        <f t="shared" si="31"/>
        <v>7</v>
      </c>
      <c r="E977" s="1" t="s">
        <v>6</v>
      </c>
      <c r="F977" s="1" t="s">
        <v>13</v>
      </c>
      <c r="G977">
        <v>48074</v>
      </c>
      <c r="H977">
        <v>100980</v>
      </c>
      <c r="I977" s="4"/>
      <c r="J977" s="22">
        <v>0.36249999999999999</v>
      </c>
      <c r="K977" s="22">
        <v>0.57708333333333328</v>
      </c>
      <c r="L977" s="4"/>
      <c r="M977" s="4"/>
      <c r="N977" t="s">
        <v>1851</v>
      </c>
      <c r="O977" s="4"/>
      <c r="P977" t="s">
        <v>399</v>
      </c>
      <c r="Q977">
        <v>8</v>
      </c>
    </row>
    <row r="978" spans="1:17" ht="14.25" customHeight="1" x14ac:dyDescent="0.25">
      <c r="A978" s="4"/>
      <c r="B978" s="21">
        <v>44226</v>
      </c>
      <c r="C978" s="5">
        <f t="shared" si="30"/>
        <v>5</v>
      </c>
      <c r="D978" s="5">
        <f t="shared" si="31"/>
        <v>7</v>
      </c>
      <c r="E978" s="1" t="s">
        <v>5</v>
      </c>
      <c r="F978" s="1" t="s">
        <v>19</v>
      </c>
      <c r="G978">
        <v>48075</v>
      </c>
      <c r="H978">
        <v>100980</v>
      </c>
      <c r="I978" s="4"/>
      <c r="J978" s="22">
        <v>0.43888888888888888</v>
      </c>
      <c r="K978" s="22">
        <v>0.73958333333333337</v>
      </c>
      <c r="L978" s="4"/>
      <c r="M978" s="4"/>
      <c r="N978" t="s">
        <v>1852</v>
      </c>
      <c r="O978" s="4"/>
      <c r="P978" t="s">
        <v>859</v>
      </c>
      <c r="Q978">
        <v>24</v>
      </c>
    </row>
    <row r="979" spans="1:17" ht="14.25" customHeight="1" x14ac:dyDescent="0.25">
      <c r="A979" s="4"/>
      <c r="B979" s="21">
        <v>44226</v>
      </c>
      <c r="C979" s="5">
        <f t="shared" si="30"/>
        <v>5</v>
      </c>
      <c r="D979" s="5">
        <f t="shared" si="31"/>
        <v>7</v>
      </c>
      <c r="E979" s="1" t="s">
        <v>5</v>
      </c>
      <c r="F979" s="1" t="s">
        <v>18</v>
      </c>
      <c r="G979">
        <v>48076</v>
      </c>
      <c r="H979">
        <v>100982</v>
      </c>
      <c r="I979" s="4"/>
      <c r="J979" s="22">
        <v>0.47500000000000003</v>
      </c>
      <c r="K979" s="22">
        <v>0.15277777777777776</v>
      </c>
      <c r="L979" s="4"/>
      <c r="M979" s="4"/>
      <c r="N979" t="s">
        <v>1853</v>
      </c>
      <c r="O979" s="4"/>
      <c r="P979" t="s">
        <v>759</v>
      </c>
      <c r="Q979">
        <v>31</v>
      </c>
    </row>
    <row r="980" spans="1:17" ht="14.25" customHeight="1" x14ac:dyDescent="0.25">
      <c r="A980" s="4"/>
      <c r="B980" s="21">
        <v>44226</v>
      </c>
      <c r="C980" s="5">
        <f t="shared" si="30"/>
        <v>5</v>
      </c>
      <c r="D980" s="5">
        <f t="shared" si="31"/>
        <v>7</v>
      </c>
      <c r="E980" s="1" t="s">
        <v>6</v>
      </c>
      <c r="F980" s="1" t="s">
        <v>11</v>
      </c>
      <c r="G980">
        <v>48079</v>
      </c>
      <c r="H980">
        <v>100983</v>
      </c>
      <c r="I980" s="4"/>
      <c r="J980" s="22">
        <v>0.26597222222222222</v>
      </c>
      <c r="K980" s="22">
        <v>1.5277777777777777E-2</v>
      </c>
      <c r="L980" s="4"/>
      <c r="M980" s="4"/>
      <c r="N980" t="s">
        <v>1854</v>
      </c>
      <c r="O980" s="4"/>
      <c r="P980" t="s">
        <v>860</v>
      </c>
      <c r="Q980">
        <v>5</v>
      </c>
    </row>
    <row r="981" spans="1:17" ht="14.25" customHeight="1" x14ac:dyDescent="0.25">
      <c r="A981" s="4"/>
      <c r="B981" s="21">
        <v>44226</v>
      </c>
      <c r="C981" s="5">
        <f t="shared" si="30"/>
        <v>5</v>
      </c>
      <c r="D981" s="5">
        <f t="shared" si="31"/>
        <v>7</v>
      </c>
      <c r="E981" s="1" t="s">
        <v>5</v>
      </c>
      <c r="F981" s="1" t="s">
        <v>17</v>
      </c>
      <c r="G981">
        <v>48080</v>
      </c>
      <c r="H981">
        <v>100984</v>
      </c>
      <c r="I981" s="4"/>
      <c r="J981" s="22">
        <v>0.4513888888888889</v>
      </c>
      <c r="K981" s="22">
        <v>0.52638888888888891</v>
      </c>
      <c r="L981" s="4"/>
      <c r="M981" s="4"/>
      <c r="N981" t="s">
        <v>1855</v>
      </c>
      <c r="O981" s="4"/>
      <c r="P981" t="s">
        <v>861</v>
      </c>
      <c r="Q981">
        <v>15</v>
      </c>
    </row>
    <row r="982" spans="1:17" ht="14.25" customHeight="1" x14ac:dyDescent="0.25">
      <c r="A982" s="4"/>
      <c r="B982" s="21">
        <v>44226</v>
      </c>
      <c r="C982" s="5">
        <f t="shared" si="30"/>
        <v>5</v>
      </c>
      <c r="D982" s="5">
        <f t="shared" si="31"/>
        <v>7</v>
      </c>
      <c r="E982" s="1" t="s">
        <v>7</v>
      </c>
      <c r="F982" s="1" t="s">
        <v>16</v>
      </c>
      <c r="G982">
        <v>48080</v>
      </c>
      <c r="H982">
        <v>100985</v>
      </c>
      <c r="I982" s="4"/>
      <c r="J982" s="22">
        <v>0.37361111111111112</v>
      </c>
      <c r="K982" s="22">
        <v>7.2916666666666671E-2</v>
      </c>
      <c r="L982" s="4"/>
      <c r="M982" s="4"/>
      <c r="N982" t="s">
        <v>1856</v>
      </c>
      <c r="O982" s="4"/>
      <c r="P982" t="s">
        <v>862</v>
      </c>
      <c r="Q982">
        <v>6</v>
      </c>
    </row>
    <row r="983" spans="1:17" ht="14.25" customHeight="1" x14ac:dyDescent="0.25">
      <c r="A983" s="4"/>
      <c r="B983" s="21">
        <v>44226</v>
      </c>
      <c r="C983" s="5">
        <f t="shared" si="30"/>
        <v>5</v>
      </c>
      <c r="D983" s="5">
        <f t="shared" si="31"/>
        <v>7</v>
      </c>
      <c r="E983" s="1" t="s">
        <v>7</v>
      </c>
      <c r="F983" s="1" t="s">
        <v>16</v>
      </c>
      <c r="G983">
        <v>48081</v>
      </c>
      <c r="H983">
        <v>100985</v>
      </c>
      <c r="I983" s="4"/>
      <c r="J983" s="22">
        <v>0.30277777777777776</v>
      </c>
      <c r="K983" s="22">
        <v>0.25138888888888888</v>
      </c>
      <c r="L983" s="4"/>
      <c r="M983" s="4"/>
      <c r="N983" t="s">
        <v>1857</v>
      </c>
      <c r="O983" s="4"/>
      <c r="P983" t="s">
        <v>224</v>
      </c>
      <c r="Q983">
        <v>27</v>
      </c>
    </row>
    <row r="984" spans="1:17" ht="14.25" customHeight="1" x14ac:dyDescent="0.25">
      <c r="A984" s="4"/>
      <c r="B984" s="21">
        <v>44226</v>
      </c>
      <c r="C984" s="5">
        <f t="shared" si="30"/>
        <v>5</v>
      </c>
      <c r="D984" s="5">
        <f t="shared" si="31"/>
        <v>7</v>
      </c>
      <c r="E984" s="1" t="s">
        <v>5</v>
      </c>
      <c r="F984" s="1" t="s">
        <v>20</v>
      </c>
      <c r="G984">
        <v>48081</v>
      </c>
      <c r="H984">
        <v>100986</v>
      </c>
      <c r="I984" s="4"/>
      <c r="J984" s="22">
        <v>0.47083333333333338</v>
      </c>
      <c r="K984" s="22">
        <v>8.6805555555555566E-2</v>
      </c>
      <c r="L984" s="4"/>
      <c r="M984" s="4"/>
      <c r="N984" t="s">
        <v>1858</v>
      </c>
      <c r="O984" s="4"/>
      <c r="P984" t="s">
        <v>863</v>
      </c>
      <c r="Q984">
        <v>1</v>
      </c>
    </row>
    <row r="985" spans="1:17" ht="14.25" customHeight="1" x14ac:dyDescent="0.25">
      <c r="A985" s="4"/>
      <c r="B985" s="21">
        <v>44226</v>
      </c>
      <c r="C985" s="5">
        <f t="shared" si="30"/>
        <v>5</v>
      </c>
      <c r="D985" s="5">
        <f t="shared" si="31"/>
        <v>7</v>
      </c>
      <c r="E985" s="1" t="s">
        <v>7</v>
      </c>
      <c r="F985" s="1" t="s">
        <v>16</v>
      </c>
      <c r="G985">
        <v>48082</v>
      </c>
      <c r="H985">
        <v>100986</v>
      </c>
      <c r="I985" s="4"/>
      <c r="J985" s="22">
        <v>0.44930555555555557</v>
      </c>
      <c r="K985" s="22">
        <v>0.74652777777777779</v>
      </c>
      <c r="L985" s="4"/>
      <c r="M985" s="4"/>
      <c r="N985" t="s">
        <v>1859</v>
      </c>
      <c r="O985" s="4"/>
      <c r="P985" t="s">
        <v>864</v>
      </c>
      <c r="Q985">
        <v>7</v>
      </c>
    </row>
    <row r="986" spans="1:17" ht="14.25" customHeight="1" x14ac:dyDescent="0.25">
      <c r="A986" s="4"/>
      <c r="B986" s="21">
        <v>44226</v>
      </c>
      <c r="C986" s="5">
        <f t="shared" si="30"/>
        <v>5</v>
      </c>
      <c r="D986" s="5">
        <f t="shared" si="31"/>
        <v>7</v>
      </c>
      <c r="E986" s="1" t="s">
        <v>7</v>
      </c>
      <c r="F986" s="1" t="s">
        <v>14</v>
      </c>
      <c r="G986">
        <v>48083</v>
      </c>
      <c r="H986">
        <v>100987</v>
      </c>
      <c r="I986" s="4"/>
      <c r="J986" s="22">
        <v>0.26527777777777778</v>
      </c>
      <c r="K986" s="22">
        <v>0.72777777777777775</v>
      </c>
      <c r="L986" s="4"/>
      <c r="M986" s="4"/>
      <c r="N986" t="s">
        <v>1860</v>
      </c>
      <c r="O986" s="4"/>
      <c r="P986" t="s">
        <v>865</v>
      </c>
      <c r="Q986">
        <v>29</v>
      </c>
    </row>
    <row r="987" spans="1:17" ht="14.25" customHeight="1" x14ac:dyDescent="0.25">
      <c r="A987" s="4"/>
      <c r="B987" s="21">
        <v>44226</v>
      </c>
      <c r="C987" s="5">
        <f t="shared" si="30"/>
        <v>5</v>
      </c>
      <c r="D987" s="5">
        <f t="shared" si="31"/>
        <v>7</v>
      </c>
      <c r="E987" s="1" t="s">
        <v>5</v>
      </c>
      <c r="F987" s="1" t="s">
        <v>17</v>
      </c>
      <c r="G987">
        <v>48085</v>
      </c>
      <c r="H987">
        <v>100988</v>
      </c>
      <c r="I987" s="4"/>
      <c r="J987" s="22">
        <v>0.34097222222222223</v>
      </c>
      <c r="K987" s="22">
        <v>0.59305555555555556</v>
      </c>
      <c r="L987" s="4"/>
      <c r="M987" s="4"/>
      <c r="N987" t="s">
        <v>1861</v>
      </c>
      <c r="O987" s="4"/>
      <c r="P987" t="s">
        <v>866</v>
      </c>
      <c r="Q987">
        <v>23</v>
      </c>
    </row>
    <row r="988" spans="1:17" ht="14.25" customHeight="1" x14ac:dyDescent="0.25">
      <c r="A988" s="4"/>
      <c r="B988" s="21">
        <v>44226</v>
      </c>
      <c r="C988" s="5">
        <f t="shared" si="30"/>
        <v>5</v>
      </c>
      <c r="D988" s="5">
        <f t="shared" si="31"/>
        <v>7</v>
      </c>
      <c r="E988" s="1" t="s">
        <v>5</v>
      </c>
      <c r="F988" s="1" t="s">
        <v>17</v>
      </c>
      <c r="G988">
        <v>48086</v>
      </c>
      <c r="H988">
        <v>100988</v>
      </c>
      <c r="I988" s="4"/>
      <c r="J988" s="22">
        <v>0.4916666666666667</v>
      </c>
      <c r="K988" s="22">
        <v>0.12569444444444444</v>
      </c>
      <c r="L988" s="4"/>
      <c r="M988" s="4"/>
      <c r="N988" t="s">
        <v>1862</v>
      </c>
      <c r="O988" s="4"/>
      <c r="P988" t="s">
        <v>867</v>
      </c>
      <c r="Q988">
        <v>14</v>
      </c>
    </row>
    <row r="989" spans="1:17" ht="14.25" customHeight="1" x14ac:dyDescent="0.25">
      <c r="A989" s="4"/>
      <c r="B989" s="21">
        <v>44226</v>
      </c>
      <c r="C989" s="5">
        <f t="shared" si="30"/>
        <v>5</v>
      </c>
      <c r="D989" s="5">
        <f t="shared" si="31"/>
        <v>7</v>
      </c>
      <c r="E989" s="1" t="s">
        <v>6</v>
      </c>
      <c r="F989" s="1" t="s">
        <v>12</v>
      </c>
      <c r="G989">
        <v>48088</v>
      </c>
      <c r="H989">
        <v>100989</v>
      </c>
      <c r="I989" s="4"/>
      <c r="J989" s="22">
        <v>0.33749999999999997</v>
      </c>
      <c r="K989" s="22">
        <v>0.39097222222222222</v>
      </c>
      <c r="L989" s="4"/>
      <c r="M989" s="4"/>
      <c r="N989" t="s">
        <v>1863</v>
      </c>
      <c r="O989" s="4"/>
      <c r="P989" t="s">
        <v>868</v>
      </c>
      <c r="Q989">
        <v>27</v>
      </c>
    </row>
    <row r="990" spans="1:17" ht="14.25" customHeight="1" x14ac:dyDescent="0.25">
      <c r="A990" s="4"/>
      <c r="B990" s="21">
        <v>44226</v>
      </c>
      <c r="C990" s="5">
        <f t="shared" si="30"/>
        <v>5</v>
      </c>
      <c r="D990" s="5">
        <f t="shared" si="31"/>
        <v>7</v>
      </c>
      <c r="E990" s="1" t="s">
        <v>7</v>
      </c>
      <c r="F990" s="1" t="s">
        <v>15</v>
      </c>
      <c r="G990">
        <v>48088</v>
      </c>
      <c r="H990">
        <v>100990</v>
      </c>
      <c r="I990" s="4"/>
      <c r="J990" s="22">
        <v>0.3888888888888889</v>
      </c>
      <c r="K990" s="22">
        <v>0.8354166666666667</v>
      </c>
      <c r="L990" s="4"/>
      <c r="M990" s="4"/>
      <c r="N990" t="s">
        <v>1864</v>
      </c>
      <c r="O990" s="4"/>
      <c r="P990" t="s">
        <v>869</v>
      </c>
      <c r="Q990">
        <v>3</v>
      </c>
    </row>
    <row r="991" spans="1:17" ht="14.25" customHeight="1" x14ac:dyDescent="0.25">
      <c r="A991" s="4"/>
      <c r="B991" s="21">
        <v>44226</v>
      </c>
      <c r="C991" s="5">
        <f t="shared" si="30"/>
        <v>5</v>
      </c>
      <c r="D991" s="5">
        <f t="shared" si="31"/>
        <v>7</v>
      </c>
      <c r="E991" s="1" t="s">
        <v>5</v>
      </c>
      <c r="F991" s="1" t="s">
        <v>17</v>
      </c>
      <c r="G991">
        <v>48089</v>
      </c>
      <c r="H991">
        <v>100990</v>
      </c>
      <c r="I991" s="4"/>
      <c r="J991" s="22">
        <v>0.3444444444444445</v>
      </c>
      <c r="K991" s="22">
        <v>0.24583333333333335</v>
      </c>
      <c r="L991" s="4"/>
      <c r="M991" s="4"/>
      <c r="N991" t="s">
        <v>1865</v>
      </c>
      <c r="O991" s="4"/>
      <c r="P991" t="s">
        <v>870</v>
      </c>
      <c r="Q991">
        <v>5</v>
      </c>
    </row>
    <row r="992" spans="1:17" ht="14.25" customHeight="1" x14ac:dyDescent="0.25">
      <c r="A992" s="4"/>
      <c r="B992" s="21">
        <v>44226</v>
      </c>
      <c r="C992" s="5">
        <f t="shared" si="30"/>
        <v>5</v>
      </c>
      <c r="D992" s="5">
        <f t="shared" si="31"/>
        <v>7</v>
      </c>
      <c r="E992" s="1" t="s">
        <v>6</v>
      </c>
      <c r="F992" s="1" t="s">
        <v>11</v>
      </c>
      <c r="G992">
        <v>48090</v>
      </c>
      <c r="H992">
        <v>100992</v>
      </c>
      <c r="I992" s="4"/>
      <c r="J992" s="22">
        <v>0.4909722222222222</v>
      </c>
      <c r="K992" s="22">
        <v>0.45</v>
      </c>
      <c r="L992" s="4"/>
      <c r="M992" s="4"/>
      <c r="N992" t="s">
        <v>1866</v>
      </c>
      <c r="O992" s="4"/>
      <c r="P992" t="s">
        <v>723</v>
      </c>
      <c r="Q992">
        <v>3</v>
      </c>
    </row>
    <row r="993" spans="1:17" ht="14.25" customHeight="1" x14ac:dyDescent="0.25">
      <c r="A993" s="4"/>
      <c r="B993" s="21">
        <v>44226</v>
      </c>
      <c r="C993" s="5">
        <f t="shared" si="30"/>
        <v>5</v>
      </c>
      <c r="D993" s="5">
        <f t="shared" si="31"/>
        <v>7</v>
      </c>
      <c r="E993" s="1" t="s">
        <v>6</v>
      </c>
      <c r="F993" s="1" t="s">
        <v>12</v>
      </c>
      <c r="G993">
        <v>48090</v>
      </c>
      <c r="H993">
        <v>100993</v>
      </c>
      <c r="I993" s="4"/>
      <c r="J993" s="22">
        <v>0.32361111111111113</v>
      </c>
      <c r="K993" s="22">
        <v>0.79791666666666661</v>
      </c>
      <c r="L993" s="4"/>
      <c r="M993" s="4"/>
      <c r="N993" t="s">
        <v>1867</v>
      </c>
      <c r="O993" s="4"/>
      <c r="P993" t="s">
        <v>871</v>
      </c>
      <c r="Q993">
        <v>11</v>
      </c>
    </row>
    <row r="994" spans="1:17" ht="14.25" customHeight="1" x14ac:dyDescent="0.25">
      <c r="A994" s="4"/>
      <c r="B994" s="21">
        <v>44226</v>
      </c>
      <c r="C994" s="5">
        <f t="shared" si="30"/>
        <v>5</v>
      </c>
      <c r="D994" s="5">
        <f t="shared" si="31"/>
        <v>7</v>
      </c>
      <c r="E994" s="1" t="s">
        <v>5</v>
      </c>
      <c r="F994" s="1" t="s">
        <v>19</v>
      </c>
      <c r="G994">
        <v>48091</v>
      </c>
      <c r="H994">
        <v>100993</v>
      </c>
      <c r="I994" s="4"/>
      <c r="J994" s="22">
        <v>0.4069444444444445</v>
      </c>
      <c r="K994" s="22">
        <v>0.82777777777777783</v>
      </c>
      <c r="L994" s="4"/>
      <c r="M994" s="4"/>
      <c r="N994" t="s">
        <v>1868</v>
      </c>
      <c r="O994" s="4"/>
      <c r="P994" t="s">
        <v>872</v>
      </c>
      <c r="Q994">
        <v>2</v>
      </c>
    </row>
    <row r="995" spans="1:17" ht="14.25" customHeight="1" x14ac:dyDescent="0.25">
      <c r="A995" s="4"/>
      <c r="B995" s="21">
        <v>44226</v>
      </c>
      <c r="C995" s="5">
        <f t="shared" si="30"/>
        <v>5</v>
      </c>
      <c r="D995" s="5">
        <f t="shared" si="31"/>
        <v>7</v>
      </c>
      <c r="E995" s="1" t="s">
        <v>6</v>
      </c>
      <c r="F995" s="1" t="s">
        <v>12</v>
      </c>
      <c r="G995">
        <v>48091</v>
      </c>
      <c r="H995">
        <v>100996</v>
      </c>
      <c r="I995" s="4"/>
      <c r="J995" s="22">
        <v>0.27638888888888885</v>
      </c>
      <c r="K995" s="22">
        <v>0.37152777777777773</v>
      </c>
      <c r="L995" s="4"/>
      <c r="M995" s="4"/>
      <c r="N995" t="s">
        <v>1869</v>
      </c>
      <c r="O995" s="4"/>
      <c r="P995" t="s">
        <v>596</v>
      </c>
      <c r="Q995">
        <v>9</v>
      </c>
    </row>
    <row r="996" spans="1:17" ht="14.25" customHeight="1" x14ac:dyDescent="0.25">
      <c r="A996" s="4"/>
      <c r="B996" s="21">
        <v>44226</v>
      </c>
      <c r="C996" s="5">
        <f t="shared" si="30"/>
        <v>5</v>
      </c>
      <c r="D996" s="5">
        <f t="shared" si="31"/>
        <v>7</v>
      </c>
      <c r="E996" s="1" t="s">
        <v>5</v>
      </c>
      <c r="F996" s="1" t="s">
        <v>18</v>
      </c>
      <c r="G996">
        <v>48093</v>
      </c>
      <c r="H996">
        <v>100997</v>
      </c>
      <c r="I996" s="4"/>
      <c r="J996" s="22">
        <v>0.45277777777777778</v>
      </c>
      <c r="K996" s="22">
        <v>0.39930555555555558</v>
      </c>
      <c r="L996" s="4"/>
      <c r="M996" s="4"/>
      <c r="N996" t="s">
        <v>1870</v>
      </c>
      <c r="O996" s="4"/>
      <c r="P996" t="s">
        <v>554</v>
      </c>
      <c r="Q996">
        <v>10</v>
      </c>
    </row>
    <row r="997" spans="1:17" ht="14.25" customHeight="1" x14ac:dyDescent="0.25">
      <c r="A997" s="4"/>
      <c r="B997" s="21">
        <v>44226</v>
      </c>
      <c r="C997" s="5">
        <f t="shared" si="30"/>
        <v>5</v>
      </c>
      <c r="D997" s="5">
        <f t="shared" si="31"/>
        <v>7</v>
      </c>
      <c r="E997" s="1" t="s">
        <v>5</v>
      </c>
      <c r="F997" s="1" t="s">
        <v>20</v>
      </c>
      <c r="G997">
        <v>48094</v>
      </c>
      <c r="H997">
        <v>100997</v>
      </c>
      <c r="I997" s="4"/>
      <c r="J997" s="22">
        <v>0.2986111111111111</v>
      </c>
      <c r="K997" s="22">
        <v>0.2388888888888889</v>
      </c>
      <c r="L997" s="4"/>
      <c r="M997" s="4"/>
      <c r="N997" t="s">
        <v>1871</v>
      </c>
      <c r="O997" s="4"/>
      <c r="P997" t="s">
        <v>669</v>
      </c>
      <c r="Q997">
        <v>22</v>
      </c>
    </row>
    <row r="998" spans="1:17" ht="14.25" customHeight="1" x14ac:dyDescent="0.25">
      <c r="A998" s="4"/>
      <c r="B998" s="21">
        <v>44226</v>
      </c>
      <c r="C998" s="5">
        <f t="shared" si="30"/>
        <v>5</v>
      </c>
      <c r="D998" s="5">
        <f t="shared" si="31"/>
        <v>7</v>
      </c>
      <c r="E998" s="1" t="s">
        <v>7</v>
      </c>
      <c r="F998" s="1" t="s">
        <v>16</v>
      </c>
      <c r="G998">
        <v>48095</v>
      </c>
      <c r="H998">
        <v>100998</v>
      </c>
      <c r="I998" s="4"/>
      <c r="J998" s="22">
        <v>0.2902777777777778</v>
      </c>
      <c r="K998" s="22">
        <v>0.9784722222222223</v>
      </c>
      <c r="L998" s="4"/>
      <c r="M998" s="4"/>
      <c r="N998" t="s">
        <v>1872</v>
      </c>
      <c r="O998" s="4"/>
      <c r="P998" t="s">
        <v>873</v>
      </c>
      <c r="Q998">
        <v>5</v>
      </c>
    </row>
    <row r="999" spans="1:17" ht="14.25" customHeight="1" x14ac:dyDescent="0.25">
      <c r="A999" s="4"/>
      <c r="B999" s="21">
        <v>44226</v>
      </c>
      <c r="C999" s="5">
        <f t="shared" si="30"/>
        <v>5</v>
      </c>
      <c r="D999" s="5">
        <f t="shared" si="31"/>
        <v>7</v>
      </c>
      <c r="E999" s="1" t="s">
        <v>6</v>
      </c>
      <c r="F999" s="1" t="s">
        <v>12</v>
      </c>
      <c r="G999">
        <v>48097</v>
      </c>
      <c r="H999">
        <v>100998</v>
      </c>
      <c r="I999" s="4"/>
      <c r="J999" s="22">
        <v>0.47083333333333338</v>
      </c>
      <c r="K999" s="22">
        <v>0.24305555555555555</v>
      </c>
      <c r="L999" s="4"/>
      <c r="M999" s="4"/>
      <c r="N999" t="s">
        <v>1873</v>
      </c>
      <c r="O999" s="4"/>
      <c r="P999" t="s">
        <v>874</v>
      </c>
      <c r="Q999">
        <v>21</v>
      </c>
    </row>
    <row r="1000" spans="1:17" ht="14.25" customHeight="1" x14ac:dyDescent="0.25">
      <c r="A1000" s="4"/>
      <c r="B1000" s="21">
        <v>44226</v>
      </c>
      <c r="C1000" s="5">
        <f t="shared" si="30"/>
        <v>5</v>
      </c>
      <c r="D1000" s="5">
        <f t="shared" si="31"/>
        <v>7</v>
      </c>
      <c r="E1000" s="1" t="s">
        <v>5</v>
      </c>
      <c r="F1000" s="1" t="s">
        <v>17</v>
      </c>
      <c r="G1000">
        <v>48098</v>
      </c>
      <c r="H1000">
        <v>100999</v>
      </c>
      <c r="I1000" s="4"/>
      <c r="J1000" s="22">
        <v>0.40486111111111112</v>
      </c>
      <c r="K1000" s="22">
        <v>0.11875000000000001</v>
      </c>
      <c r="L1000" s="4"/>
      <c r="M1000" s="4"/>
      <c r="N1000" t="s">
        <v>1874</v>
      </c>
      <c r="O1000" s="4"/>
      <c r="P1000" t="s">
        <v>875</v>
      </c>
      <c r="Q1000">
        <v>33</v>
      </c>
    </row>
    <row r="1001" spans="1:17" ht="14.25" customHeight="1" x14ac:dyDescent="0.25">
      <c r="A1001" s="4"/>
      <c r="B1001" s="21">
        <v>44226</v>
      </c>
      <c r="C1001" s="5">
        <f t="shared" si="30"/>
        <v>5</v>
      </c>
      <c r="D1001" s="5">
        <f t="shared" si="31"/>
        <v>7</v>
      </c>
      <c r="E1001" s="1" t="s">
        <v>6</v>
      </c>
      <c r="F1001" s="1" t="s">
        <v>11</v>
      </c>
      <c r="G1001">
        <v>48099</v>
      </c>
      <c r="H1001">
        <v>101000</v>
      </c>
      <c r="I1001" s="4"/>
      <c r="J1001" s="22">
        <v>0.37916666666666665</v>
      </c>
      <c r="K1001" s="22">
        <v>0.50486111111111109</v>
      </c>
      <c r="L1001" s="4"/>
      <c r="M1001" s="4"/>
      <c r="N1001" t="s">
        <v>1875</v>
      </c>
      <c r="O1001" s="4"/>
      <c r="P1001" t="s">
        <v>566</v>
      </c>
      <c r="Q1001">
        <v>4</v>
      </c>
    </row>
  </sheetData>
  <autoFilter ref="A1:Q1001" xr:uid="{4091F217-1100-4722-AF0A-AE3C1A5EC0DA}"/>
  <sortState xmlns:xlrd2="http://schemas.microsoft.com/office/spreadsheetml/2017/richdata2" ref="H2:H1001">
    <sortCondition ref="H2:H1001"/>
  </sortState>
  <conditionalFormatting sqref="E1002:E1048576 E1">
    <cfRule type="cellIs" dxfId="10" priority="467" operator="equal">
      <formula>"Cressier"</formula>
    </cfRule>
  </conditionalFormatting>
  <conditionalFormatting sqref="D1:D1048576">
    <cfRule type="cellIs" dxfId="9" priority="458" operator="equal">
      <formula>"vendredi"</formula>
    </cfRule>
    <cfRule type="cellIs" dxfId="8" priority="459" operator="equal">
      <formula>"jeudi"</formula>
    </cfRule>
    <cfRule type="cellIs" dxfId="7" priority="460" operator="equal">
      <formula>"mercredi"</formula>
    </cfRule>
    <cfRule type="cellIs" dxfId="6" priority="461" operator="equal">
      <formula>"mardi"</formula>
    </cfRule>
    <cfRule type="cellIs" dxfId="5" priority="462" operator="equal">
      <formula>"lundi"</formula>
    </cfRule>
  </conditionalFormatting>
  <conditionalFormatting sqref="F1 F1002:F1048576">
    <cfRule type="containsText" dxfId="4" priority="492" operator="containsText" text="tour">
      <formula>NOT(ISERROR(SEARCH("tour",F1)))</formula>
    </cfRule>
    <cfRule type="cellIs" dxfId="3" priority="493" operator="equal">
      <formula>$F$19</formula>
    </cfRule>
    <cfRule type="cellIs" dxfId="2" priority="494" operator="equal">
      <formula>"Cressier"</formula>
    </cfRule>
  </conditionalFormatting>
  <conditionalFormatting sqref="F1 F1002:F1048576">
    <cfRule type="cellIs" dxfId="1" priority="23" operator="equal">
      <formula>"thayngen"</formula>
    </cfRule>
    <cfRule type="containsText" dxfId="0" priority="24" operator="containsText" text="Froneri">
      <formula>NOT(ISERROR(SEARCH("Froneri",F1)))</formula>
    </cfRule>
  </conditionalFormatting>
  <printOptions horizontalCentered="1" verticalCentered="1"/>
  <pageMargins left="0.11811023622047245" right="0.11811023622047245" top="0.15748031496062992" bottom="0.35433070866141736" header="0.31496062992125984" footer="0.31496062992125984"/>
  <pageSetup paperSize="9" scale="93" orientation="landscape" r:id="rId1"/>
  <rowBreaks count="1" manualBreakCount="1">
    <brk id="8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1:G32"/>
  <sheetViews>
    <sheetView workbookViewId="0">
      <selection activeCell="F8" sqref="F8:F12"/>
    </sheetView>
  </sheetViews>
  <sheetFormatPr defaultColWidth="11.42578125" defaultRowHeight="15" x14ac:dyDescent="0.25"/>
  <cols>
    <col min="1" max="2" width="11.42578125" style="2"/>
    <col min="3" max="3" width="19" style="2" bestFit="1" customWidth="1"/>
    <col min="4" max="4" width="31" style="2" bestFit="1" customWidth="1"/>
    <col min="5" max="5" width="42.42578125" style="2" bestFit="1" customWidth="1"/>
    <col min="6" max="6" width="29" style="2" customWidth="1"/>
    <col min="7" max="7" width="31.140625" style="2" bestFit="1" customWidth="1"/>
    <col min="8" max="16384" width="11.42578125" style="2"/>
  </cols>
  <sheetData>
    <row r="1" spans="4:7" x14ac:dyDescent="0.25">
      <c r="D1" s="2" t="s">
        <v>1877</v>
      </c>
      <c r="E1" s="2" t="s">
        <v>1878</v>
      </c>
      <c r="F1" s="2" t="s">
        <v>4</v>
      </c>
      <c r="G1" s="2" t="s">
        <v>1878</v>
      </c>
    </row>
    <row r="2" spans="4:7" x14ac:dyDescent="0.25">
      <c r="D2" t="s">
        <v>5</v>
      </c>
      <c r="E2" t="s">
        <v>8</v>
      </c>
      <c r="F2" t="s">
        <v>11</v>
      </c>
      <c r="G2" t="s">
        <v>22</v>
      </c>
    </row>
    <row r="3" spans="4:7" x14ac:dyDescent="0.25">
      <c r="D3" t="s">
        <v>6</v>
      </c>
      <c r="E3" t="s">
        <v>9</v>
      </c>
      <c r="F3" t="s">
        <v>12</v>
      </c>
      <c r="G3" t="s">
        <v>23</v>
      </c>
    </row>
    <row r="4" spans="4:7" x14ac:dyDescent="0.25">
      <c r="D4" t="s">
        <v>7</v>
      </c>
      <c r="E4" t="s">
        <v>10</v>
      </c>
      <c r="F4" t="s">
        <v>13</v>
      </c>
      <c r="G4" t="s">
        <v>24</v>
      </c>
    </row>
    <row r="5" spans="4:7" x14ac:dyDescent="0.25">
      <c r="D5"/>
      <c r="E5"/>
      <c r="F5" t="s">
        <v>14</v>
      </c>
      <c r="G5" t="s">
        <v>25</v>
      </c>
    </row>
    <row r="6" spans="4:7" x14ac:dyDescent="0.25">
      <c r="D6"/>
      <c r="E6"/>
      <c r="F6" t="s">
        <v>15</v>
      </c>
      <c r="G6" t="s">
        <v>26</v>
      </c>
    </row>
    <row r="7" spans="4:7" x14ac:dyDescent="0.25">
      <c r="D7"/>
      <c r="E7"/>
      <c r="F7" t="s">
        <v>16</v>
      </c>
      <c r="G7" t="s">
        <v>27</v>
      </c>
    </row>
    <row r="8" spans="4:7" x14ac:dyDescent="0.25">
      <c r="D8"/>
      <c r="E8"/>
      <c r="F8" t="s">
        <v>17</v>
      </c>
      <c r="G8" t="s">
        <v>28</v>
      </c>
    </row>
    <row r="9" spans="4:7" x14ac:dyDescent="0.25">
      <c r="D9"/>
      <c r="E9"/>
      <c r="F9" t="s">
        <v>18</v>
      </c>
      <c r="G9" t="s">
        <v>29</v>
      </c>
    </row>
    <row r="10" spans="4:7" x14ac:dyDescent="0.25">
      <c r="D10"/>
      <c r="E10"/>
      <c r="F10" t="s">
        <v>19</v>
      </c>
      <c r="G10" t="s">
        <v>30</v>
      </c>
    </row>
    <row r="11" spans="4:7" x14ac:dyDescent="0.25">
      <c r="D11"/>
      <c r="E11"/>
      <c r="F11" t="s">
        <v>20</v>
      </c>
      <c r="G11" t="s">
        <v>31</v>
      </c>
    </row>
    <row r="12" spans="4:7" x14ac:dyDescent="0.25">
      <c r="D12"/>
      <c r="E12"/>
      <c r="F12" t="s">
        <v>21</v>
      </c>
      <c r="G12" t="s">
        <v>32</v>
      </c>
    </row>
    <row r="13" spans="4:7" x14ac:dyDescent="0.25">
      <c r="D13"/>
      <c r="E13"/>
      <c r="F13"/>
      <c r="G13"/>
    </row>
    <row r="14" spans="4:7" x14ac:dyDescent="0.25">
      <c r="D14"/>
      <c r="E14"/>
      <c r="F14"/>
      <c r="G14"/>
    </row>
    <row r="15" spans="4:7" x14ac:dyDescent="0.25">
      <c r="D15"/>
      <c r="E15"/>
      <c r="F15"/>
      <c r="G15"/>
    </row>
    <row r="16" spans="4:7" x14ac:dyDescent="0.25">
      <c r="D16"/>
      <c r="E16" s="20"/>
      <c r="F16"/>
      <c r="G16"/>
    </row>
    <row r="17" spans="5:7" x14ac:dyDescent="0.25">
      <c r="E17" s="20"/>
      <c r="F17"/>
      <c r="G17"/>
    </row>
    <row r="18" spans="5:7" x14ac:dyDescent="0.25">
      <c r="E18" s="20"/>
      <c r="F18"/>
      <c r="G18"/>
    </row>
    <row r="19" spans="5:7" x14ac:dyDescent="0.25">
      <c r="E19" s="20"/>
      <c r="F19"/>
      <c r="G19"/>
    </row>
    <row r="20" spans="5:7" x14ac:dyDescent="0.25">
      <c r="E20" s="20"/>
      <c r="F20"/>
      <c r="G20"/>
    </row>
    <row r="21" spans="5:7" x14ac:dyDescent="0.25">
      <c r="E21" s="20"/>
      <c r="F21"/>
      <c r="G21"/>
    </row>
    <row r="22" spans="5:7" x14ac:dyDescent="0.25">
      <c r="E22" s="20"/>
      <c r="F22"/>
      <c r="G22"/>
    </row>
    <row r="23" spans="5:7" x14ac:dyDescent="0.25">
      <c r="E23" s="20"/>
      <c r="F23"/>
      <c r="G23"/>
    </row>
    <row r="24" spans="5:7" x14ac:dyDescent="0.25">
      <c r="E24" s="20"/>
      <c r="F24"/>
      <c r="G24"/>
    </row>
    <row r="25" spans="5:7" x14ac:dyDescent="0.25">
      <c r="E25" s="20"/>
      <c r="F25"/>
      <c r="G25"/>
    </row>
    <row r="26" spans="5:7" x14ac:dyDescent="0.25">
      <c r="E26" s="20"/>
      <c r="F26"/>
      <c r="G26"/>
    </row>
    <row r="27" spans="5:7" x14ac:dyDescent="0.25">
      <c r="E27" s="20"/>
      <c r="F27"/>
      <c r="G27"/>
    </row>
    <row r="28" spans="5:7" x14ac:dyDescent="0.25">
      <c r="E28" s="20"/>
      <c r="F28"/>
      <c r="G28"/>
    </row>
    <row r="29" spans="5:7" x14ac:dyDescent="0.25">
      <c r="E29" s="20"/>
      <c r="F29"/>
      <c r="G29"/>
    </row>
    <row r="30" spans="5:7" x14ac:dyDescent="0.25">
      <c r="E30" s="20"/>
      <c r="F30"/>
      <c r="G30"/>
    </row>
    <row r="31" spans="5:7" x14ac:dyDescent="0.25">
      <c r="E31" s="20"/>
      <c r="F31"/>
      <c r="G31"/>
    </row>
    <row r="32" spans="5:7" x14ac:dyDescent="0.25">
      <c r="E32" s="20"/>
      <c r="F32"/>
      <c r="G3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Send email</vt:lpstr>
      <vt:lpstr>Deliveries data</vt:lpstr>
      <vt:lpstr>Company data</vt:lpstr>
      <vt:lpstr>'Deliveries data'!Print_Area</vt:lpstr>
    </vt:vector>
  </TitlesOfParts>
  <Company>fenaco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Roulin Léonard [frigemo AG]</dc:creator>
  <cp:lastModifiedBy>Marco Fogale</cp:lastModifiedBy>
  <cp:lastPrinted>2020-12-08T16:34:22Z</cp:lastPrinted>
  <dcterms:created xsi:type="dcterms:W3CDTF">2020-12-03T07:02:09Z</dcterms:created>
  <dcterms:modified xsi:type="dcterms:W3CDTF">2021-02-07T08:26:09Z</dcterms:modified>
</cp:coreProperties>
</file>